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mySup" sheetId="1" state="visible" r:id="rId1"/>
    <sheet xmlns:r="http://schemas.openxmlformats.org/officeDocument/2006/relationships" name="Materiales" sheetId="2" state="visible" r:id="rId2"/>
    <sheet xmlns:r="http://schemas.openxmlformats.org/officeDocument/2006/relationships" name="Tot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4" customWidth="1" min="4" max="4"/>
  </cols>
  <sheetData>
    <row r="1">
      <c r="A1" s="1" t="inlineStr">
        <is>
          <t>ORIGEN ESENCIAL - PERIMETROS Y SUPERFICIES</t>
        </is>
      </c>
    </row>
    <row r="3">
      <c r="A3" s="2" t="inlineStr">
        <is>
          <t>Local</t>
        </is>
      </c>
      <c r="B3" s="2" t="inlineStr">
        <is>
          <t>Perímetro (m)</t>
        </is>
      </c>
      <c r="C3" s="2" t="inlineStr">
        <is>
          <t>Superficie (m²)</t>
        </is>
      </c>
      <c r="D3" s="2" t="inlineStr">
        <is>
          <t>Altura (m)</t>
        </is>
      </c>
    </row>
    <row r="4">
      <c r="A4" t="inlineStr">
        <is>
          <t>Estar com. Cocina paso</t>
        </is>
      </c>
      <c r="B4" t="n">
        <v>31.11</v>
      </c>
      <c r="C4" t="n">
        <v>27.9</v>
      </c>
      <c r="D4" t="n">
        <v>3.08</v>
      </c>
    </row>
    <row r="5">
      <c r="A5" t="inlineStr">
        <is>
          <t>Antebaño</t>
        </is>
      </c>
      <c r="B5" t="n">
        <v>7.43</v>
      </c>
      <c r="C5" t="n">
        <v>3.2</v>
      </c>
      <c r="D5" t="n">
        <v>3.08</v>
      </c>
    </row>
    <row r="6">
      <c r="A6" t="inlineStr">
        <is>
          <t>Baño</t>
        </is>
      </c>
      <c r="B6" t="n">
        <v>7.64</v>
      </c>
      <c r="C6" t="n">
        <v>3.44</v>
      </c>
      <c r="D6" t="n">
        <v>3.08</v>
      </c>
    </row>
    <row r="7">
      <c r="A7" t="inlineStr">
        <is>
          <t>Dormitorio</t>
        </is>
      </c>
      <c r="B7" t="n">
        <v>13.57</v>
      </c>
      <c r="C7" t="n">
        <v>10.16</v>
      </c>
      <c r="D7" t="n">
        <v>3.08</v>
      </c>
    </row>
    <row r="8">
      <c r="A8" t="inlineStr">
        <is>
          <t>Dormitorio</t>
        </is>
      </c>
      <c r="B8" t="n">
        <v>14.78</v>
      </c>
      <c r="C8" t="n">
        <v>11.05</v>
      </c>
      <c r="D8" t="n">
        <v>3.08</v>
      </c>
    </row>
    <row r="9">
      <c r="A9" s="3" t="inlineStr">
        <is>
          <t>TOTAL</t>
        </is>
      </c>
      <c r="C9" s="3">
        <f>SUM(C4:C8)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6" customWidth="1" min="1" max="1"/>
    <col width="45" customWidth="1" min="2" max="2"/>
    <col width="10" customWidth="1" min="3" max="3"/>
    <col width="14" customWidth="1" min="4" max="4"/>
    <col width="18" customWidth="1" min="5" max="5"/>
    <col width="18" customWidth="1" min="6" max="6"/>
    <col width="14" customWidth="1" min="7" max="7"/>
  </cols>
  <sheetData>
    <row r="1">
      <c r="A1" s="1" t="inlineStr">
        <is>
          <t>ORIGEN ESENCIAL - MATERIALES Y COSTOS (Estructura Aura)</t>
        </is>
      </c>
    </row>
    <row r="3">
      <c r="A3" s="2" t="inlineStr">
        <is>
          <t>Item</t>
        </is>
      </c>
      <c r="B3" s="2" t="inlineStr">
        <is>
          <t>Descripción</t>
        </is>
      </c>
      <c r="C3" s="2" t="inlineStr">
        <is>
          <t>Unidad</t>
        </is>
      </c>
      <c r="D3" s="2" t="inlineStr">
        <is>
          <t>Cantidad Origen</t>
        </is>
      </c>
      <c r="E3" s="2" t="inlineStr">
        <is>
          <t>Precio Unitario ARS</t>
        </is>
      </c>
      <c r="F3" s="2" t="inlineStr">
        <is>
          <t>Subtotal ARS</t>
        </is>
      </c>
      <c r="G3" s="2" t="inlineStr">
        <is>
          <t>USD</t>
        </is>
      </c>
    </row>
    <row r="4">
      <c r="A4" t="n">
        <v>2</v>
      </c>
      <c r="B4" t="inlineStr">
        <is>
          <t>Nylon incluye contrapiso perimetral se necesitan 115 m2 Rollo 100 m2</t>
        </is>
      </c>
      <c r="C4" t="inlineStr">
        <is>
          <t>rollo</t>
        </is>
      </c>
      <c r="D4" t="n">
        <v>62.7</v>
      </c>
      <c r="E4" t="n">
        <v>33000</v>
      </c>
      <c r="F4">
        <f>D4*E4</f>
        <v/>
      </c>
      <c r="G4">
        <f>ROUND(F4/1550, 2)</f>
        <v/>
      </c>
    </row>
    <row r="5">
      <c r="A5" t="n">
        <v>3</v>
      </c>
      <c r="B5" t="inlineStr">
        <is>
          <t>Contrapiso interior espesor 12 cm</t>
        </is>
      </c>
      <c r="C5" t="inlineStr">
        <is>
          <t>m2</t>
        </is>
      </c>
      <c r="D5" t="n">
        <v>62.7</v>
      </c>
      <c r="E5" t="n">
        <v>104207.4</v>
      </c>
      <c r="F5">
        <f>D5*E5</f>
        <v/>
      </c>
      <c r="G5">
        <f>ROUND(F5/1550, 2)</f>
        <v/>
      </c>
    </row>
    <row r="6">
      <c r="A6" t="n">
        <v>4</v>
      </c>
      <c r="B6" t="inlineStr">
        <is>
          <t>Carpeta de cemento 2 cm</t>
        </is>
      </c>
      <c r="C6" t="inlineStr">
        <is>
          <t>m2</t>
        </is>
      </c>
      <c r="D6" t="n">
        <v>62.7</v>
      </c>
      <c r="E6" t="n">
        <v>12504.888</v>
      </c>
      <c r="F6">
        <f>D6*E6</f>
        <v/>
      </c>
      <c r="G6">
        <f>ROUND(F6/1550, 2)</f>
        <v/>
      </c>
    </row>
    <row r="7">
      <c r="A7" t="n">
        <v>5</v>
      </c>
      <c r="B7" t="inlineStr">
        <is>
          <t>Contrapiso Exterior espesor 12 cm</t>
        </is>
      </c>
      <c r="C7" t="inlineStr">
        <is>
          <t>m2</t>
        </is>
      </c>
      <c r="D7" t="n">
        <v>62.7</v>
      </c>
      <c r="E7" t="n">
        <v>12504.888</v>
      </c>
      <c r="F7">
        <f>D7*E7</f>
        <v/>
      </c>
      <c r="G7">
        <f>ROUND(F7/1550, 2)</f>
        <v/>
      </c>
    </row>
    <row r="8">
      <c r="A8" t="n">
        <v>6</v>
      </c>
      <c r="B8" t="inlineStr">
        <is>
          <t>Carpeta de cemento</t>
        </is>
      </c>
      <c r="C8" t="inlineStr">
        <is>
          <t>m2</t>
        </is>
      </c>
      <c r="D8" t="n">
        <v>88.7</v>
      </c>
      <c r="E8" t="n">
        <v>3271.89555</v>
      </c>
      <c r="F8">
        <f>D8*E8</f>
        <v/>
      </c>
      <c r="G8">
        <f>ROUND(F8/1550, 2)</f>
        <v/>
      </c>
    </row>
    <row r="9">
      <c r="A9" t="n">
        <v>7</v>
      </c>
      <c r="B9" t="inlineStr">
        <is>
          <t>Baño quimico mensual</t>
        </is>
      </c>
      <c r="C9" t="inlineStr">
        <is>
          <t>meses</t>
        </is>
      </c>
      <c r="D9" t="n">
        <v>3</v>
      </c>
      <c r="E9" t="n">
        <v>80000</v>
      </c>
      <c r="F9">
        <f>D9*E9</f>
        <v/>
      </c>
      <c r="G9">
        <f>ROUND(F9/1550, 2)</f>
        <v/>
      </c>
    </row>
    <row r="10">
      <c r="A10" t="n">
        <v>8</v>
      </c>
      <c r="B10" t="inlineStr">
        <is>
          <t>Limpieza de obra periodica. Volquetes</t>
        </is>
      </c>
      <c r="C10" t="inlineStr">
        <is>
          <t>Volq</t>
        </is>
      </c>
      <c r="D10" t="n">
        <v>3</v>
      </c>
      <c r="E10" t="n">
        <v>140000</v>
      </c>
      <c r="F10">
        <f>D10*E10</f>
        <v/>
      </c>
      <c r="G10">
        <f>ROUND(F10/1550, 2)</f>
        <v/>
      </c>
    </row>
    <row r="11">
      <c r="A11" t="n">
        <v>11</v>
      </c>
      <c r="B11" t="inlineStr">
        <is>
          <t>Materiales de sellado adicionales paredes y techo</t>
        </is>
      </c>
      <c r="C11" t="inlineStr">
        <is>
          <t>gl</t>
        </is>
      </c>
      <c r="D11" t="n">
        <v>1</v>
      </c>
      <c r="E11" t="n">
        <v>956000</v>
      </c>
      <c r="F11">
        <f>D11*E11</f>
        <v/>
      </c>
      <c r="G11">
        <f>ROUND(F11/1550, 2)</f>
        <v/>
      </c>
    </row>
    <row r="12">
      <c r="A12" t="n">
        <v>12</v>
      </c>
      <c r="B12" t="inlineStr">
        <is>
          <t>Dinteles 3x4</t>
        </is>
      </c>
      <c r="C12" t="inlineStr">
        <is>
          <t>ml</t>
        </is>
      </c>
      <c r="D12" t="n">
        <v>15</v>
      </c>
      <c r="E12" t="n">
        <v>10000</v>
      </c>
      <c r="F12">
        <f>D12*E12</f>
        <v/>
      </c>
      <c r="G12">
        <f>ROUND(F12/1550, 2)</f>
        <v/>
      </c>
    </row>
    <row r="13">
      <c r="A13" t="n">
        <v>13</v>
      </c>
      <c r="B13" t="inlineStr">
        <is>
          <t>Revestimiento placa de roca de yeso interior standard</t>
        </is>
      </c>
      <c r="C13" t="inlineStr">
        <is>
          <t>m2</t>
        </is>
      </c>
      <c r="D13" t="n">
        <v>137.5008</v>
      </c>
      <c r="E13" t="n">
        <v>7272.764863888889</v>
      </c>
      <c r="F13">
        <f>D13*E13</f>
        <v/>
      </c>
      <c r="G13">
        <f>ROUND(F13/1550, 2)</f>
        <v/>
      </c>
    </row>
    <row r="14">
      <c r="A14" t="n">
        <v>14</v>
      </c>
      <c r="B14" t="inlineStr">
        <is>
          <t>Revestimiento placa de roca de yeso interior RH</t>
        </is>
      </c>
      <c r="C14" t="inlineStr">
        <is>
          <t>m2</t>
        </is>
      </c>
      <c r="D14" t="n">
        <v>29.2</v>
      </c>
      <c r="E14" t="n">
        <v>13106.61903055556</v>
      </c>
      <c r="F14">
        <f>D14*E14</f>
        <v/>
      </c>
      <c r="G14">
        <f>ROUND(F14/1550, 2)</f>
        <v/>
      </c>
    </row>
    <row r="15">
      <c r="A15" t="n">
        <v>15</v>
      </c>
      <c r="B15" t="inlineStr">
        <is>
          <t>Revestimiento Exterior siding LP</t>
        </is>
      </c>
      <c r="C15" t="inlineStr">
        <is>
          <t>m2</t>
        </is>
      </c>
      <c r="D15" t="n">
        <v>136.93</v>
      </c>
      <c r="E15" t="n">
        <v>18055.04</v>
      </c>
      <c r="F15">
        <f>D15*E15</f>
        <v/>
      </c>
      <c r="G15">
        <f>ROUND(F15/1550, 2)</f>
        <v/>
      </c>
    </row>
    <row r="16">
      <c r="A16" t="n">
        <v>16</v>
      </c>
      <c r="B16" t="inlineStr">
        <is>
          <t>Techos Chapa acanalado completo</t>
        </is>
      </c>
      <c r="C16" t="inlineStr">
        <is>
          <t>m2</t>
        </is>
      </c>
      <c r="D16" t="n">
        <v>78</v>
      </c>
      <c r="E16" t="n">
        <v>45303.1282051282</v>
      </c>
      <c r="F16">
        <f>D16*E16</f>
        <v/>
      </c>
      <c r="G16">
        <f>ROUND(F16/1550, 2)</f>
        <v/>
      </c>
    </row>
    <row r="17">
      <c r="A17" t="n">
        <v>17</v>
      </c>
      <c r="B17" t="inlineStr">
        <is>
          <t>Canaletas</t>
        </is>
      </c>
      <c r="C17" t="inlineStr">
        <is>
          <t>ml</t>
        </is>
      </c>
      <c r="D17" t="n">
        <v>74.53</v>
      </c>
      <c r="E17" t="n">
        <v>25000</v>
      </c>
      <c r="F17">
        <f>D17*E17</f>
        <v/>
      </c>
      <c r="G17">
        <f>ROUND(F17/1550, 2)</f>
        <v/>
      </c>
    </row>
    <row r="18">
      <c r="A18" t="n">
        <v>18</v>
      </c>
      <c r="B18" t="inlineStr">
        <is>
          <t>Bajada de canaleta</t>
        </is>
      </c>
      <c r="C18" t="inlineStr">
        <is>
          <t>ml</t>
        </is>
      </c>
      <c r="D18" t="n">
        <v>74.53</v>
      </c>
      <c r="E18" t="n">
        <v>25000</v>
      </c>
      <c r="F18">
        <f>D18*E18</f>
        <v/>
      </c>
      <c r="G18">
        <f>ROUND(F18/1550, 2)</f>
        <v/>
      </c>
    </row>
    <row r="19">
      <c r="A19" t="n">
        <v>19</v>
      </c>
      <c r="B19" t="inlineStr">
        <is>
          <t>zingueria Carga</t>
        </is>
      </c>
      <c r="C19" t="inlineStr">
        <is>
          <t>ml</t>
        </is>
      </c>
      <c r="D19" t="n">
        <v>74.53</v>
      </c>
      <c r="E19" t="n">
        <v>20000</v>
      </c>
      <c r="F19">
        <f>D19*E19</f>
        <v/>
      </c>
      <c r="G19">
        <f>ROUND(F19/1550, 2)</f>
        <v/>
      </c>
    </row>
    <row r="20">
      <c r="A20" t="n">
        <v>20</v>
      </c>
      <c r="B20" t="inlineStr">
        <is>
          <t>Botagua arranque panel SIP</t>
        </is>
      </c>
      <c r="C20" t="inlineStr">
        <is>
          <t>ml</t>
        </is>
      </c>
      <c r="D20" t="n">
        <v>74.53</v>
      </c>
      <c r="E20" t="n">
        <v>15000</v>
      </c>
      <c r="F20">
        <f>D20*E20</f>
        <v/>
      </c>
      <c r="G20">
        <f>ROUND(F20/1550, 2)</f>
        <v/>
      </c>
    </row>
    <row r="21">
      <c r="A21" t="n">
        <v>21</v>
      </c>
      <c r="B21" t="inlineStr">
        <is>
          <t>Zingueria de dinteles</t>
        </is>
      </c>
      <c r="C21" t="inlineStr">
        <is>
          <t>ml</t>
        </is>
      </c>
      <c r="D21" t="n">
        <v>74.53</v>
      </c>
      <c r="E21" t="n">
        <v>15000</v>
      </c>
      <c r="F21">
        <f>D21*E21</f>
        <v/>
      </c>
      <c r="G21">
        <f>ROUND(F21/1550, 2)</f>
        <v/>
      </c>
    </row>
    <row r="22">
      <c r="A22" t="n">
        <v>22</v>
      </c>
      <c r="B22" t="inlineStr">
        <is>
          <t>Materiales Sanitarios</t>
        </is>
      </c>
      <c r="C22" t="inlineStr">
        <is>
          <t>gl</t>
        </is>
      </c>
      <c r="D22" t="n">
        <v>1</v>
      </c>
      <c r="E22" t="n">
        <v>850000</v>
      </c>
      <c r="F22">
        <f>D22*E22</f>
        <v/>
      </c>
      <c r="G22">
        <f>ROUND(F22/1550, 2)</f>
        <v/>
      </c>
    </row>
    <row r="23">
      <c r="A23" t="n">
        <v>23</v>
      </c>
      <c r="B23" t="inlineStr">
        <is>
          <t>Mano de Obra Sanitaria</t>
        </is>
      </c>
      <c r="C23" t="inlineStr">
        <is>
          <t>gl</t>
        </is>
      </c>
      <c r="D23" t="n">
        <v>1</v>
      </c>
      <c r="E23" t="n">
        <v>850000</v>
      </c>
      <c r="F23">
        <f>D23*E23</f>
        <v/>
      </c>
      <c r="G23">
        <f>ROUND(F23/1550, 2)</f>
        <v/>
      </c>
    </row>
    <row r="24">
      <c r="A24" t="n">
        <v>24</v>
      </c>
      <c r="B24" t="inlineStr">
        <is>
          <t>Artefactos Sanitarios Gas segun listado</t>
        </is>
      </c>
      <c r="C24" t="inlineStr">
        <is>
          <t>gl</t>
        </is>
      </c>
      <c r="D24" t="n">
        <v>1</v>
      </c>
      <c r="E24" t="n">
        <v>1172000</v>
      </c>
      <c r="F24">
        <f>D24*E24</f>
        <v/>
      </c>
      <c r="G24">
        <f>ROUND(F24/1550, 2)</f>
        <v/>
      </c>
    </row>
    <row r="25">
      <c r="A25" t="n">
        <v>25</v>
      </c>
      <c r="B25" t="inlineStr">
        <is>
          <t>Extractores hidra 250</t>
        </is>
      </c>
      <c r="C25" t="inlineStr">
        <is>
          <t>u</t>
        </is>
      </c>
      <c r="D25" t="n">
        <v>1</v>
      </c>
      <c r="E25" t="n">
        <v>32000</v>
      </c>
      <c r="F25">
        <f>D25*E25</f>
        <v/>
      </c>
      <c r="G25">
        <f>ROUND(F25/1550, 2)</f>
        <v/>
      </c>
    </row>
    <row r="26">
      <c r="A26" t="n">
        <v>26</v>
      </c>
      <c r="B26" t="inlineStr">
        <is>
          <t>Materiales electricos</t>
        </is>
      </c>
      <c r="C26" t="inlineStr">
        <is>
          <t>bocas</t>
        </is>
      </c>
      <c r="D26" t="n">
        <v>47</v>
      </c>
      <c r="E26" t="n">
        <v>60000</v>
      </c>
      <c r="F26">
        <f>D26*E26</f>
        <v/>
      </c>
      <c r="G26">
        <f>ROUND(F26/1550, 2)</f>
        <v/>
      </c>
    </row>
    <row r="27">
      <c r="A27" t="n">
        <v>27</v>
      </c>
      <c r="B27" t="inlineStr">
        <is>
          <t>Mano de Obra Electrica</t>
        </is>
      </c>
      <c r="C27" t="inlineStr">
        <is>
          <t>bocas</t>
        </is>
      </c>
      <c r="D27" t="n">
        <v>54</v>
      </c>
      <c r="E27" t="n">
        <v>60000</v>
      </c>
      <c r="F27">
        <f>D27*E27</f>
        <v/>
      </c>
      <c r="G27">
        <f>ROUND(F27/1550, 2)</f>
        <v/>
      </c>
    </row>
    <row r="28">
      <c r="A28" t="n">
        <v>28</v>
      </c>
      <c r="B28" t="inlineStr">
        <is>
          <t>Puertas interiores marco madera</t>
        </is>
      </c>
      <c r="C28" t="inlineStr">
        <is>
          <t>u</t>
        </is>
      </c>
      <c r="D28" t="n">
        <v>3</v>
      </c>
      <c r="E28" t="n">
        <v>260000</v>
      </c>
      <c r="F28">
        <f>D28*E28</f>
        <v/>
      </c>
      <c r="G28">
        <f>ROUND(F28/1550, 2)</f>
        <v/>
      </c>
    </row>
    <row r="29">
      <c r="A29" t="n">
        <v>29</v>
      </c>
      <c r="B29" t="inlineStr">
        <is>
          <t>Puerta principal</t>
        </is>
      </c>
      <c r="C29" t="inlineStr">
        <is>
          <t>u</t>
        </is>
      </c>
      <c r="D29" t="n">
        <v>1</v>
      </c>
      <c r="E29" t="n">
        <v>1900000</v>
      </c>
      <c r="F29">
        <f>D29*E29</f>
        <v/>
      </c>
      <c r="G29">
        <f>ROUND(F29/1550, 2)</f>
        <v/>
      </c>
    </row>
    <row r="30">
      <c r="A30" t="n">
        <v>30</v>
      </c>
      <c r="B30" t="inlineStr">
        <is>
          <t>Carpinteria de Alum con DVH</t>
        </is>
      </c>
      <c r="C30" t="inlineStr">
        <is>
          <t>gl</t>
        </is>
      </c>
      <c r="D30" t="n">
        <v>1</v>
      </c>
      <c r="E30" t="n">
        <v>5000000</v>
      </c>
      <c r="F30">
        <f>D30*E30</f>
        <v/>
      </c>
      <c r="G30">
        <f>ROUND(F30/1550, 2)</f>
        <v/>
      </c>
    </row>
    <row r="31">
      <c r="A31" t="n">
        <v>31</v>
      </c>
      <c r="B31" t="inlineStr">
        <is>
          <t>Piso Porcelanato y revestimiento</t>
        </is>
      </c>
      <c r="C31" t="inlineStr">
        <is>
          <t>m2</t>
        </is>
      </c>
      <c r="D31" t="n">
        <v>62.7</v>
      </c>
      <c r="E31" t="n">
        <v>32379.6</v>
      </c>
      <c r="F31">
        <f>D31*E31</f>
        <v/>
      </c>
      <c r="G31">
        <f>ROUND(F31/1550, 2)</f>
        <v/>
      </c>
    </row>
    <row r="32">
      <c r="A32" t="n">
        <v>33</v>
      </c>
      <c r="B32" t="inlineStr">
        <is>
          <t>Zocalo madera PB</t>
        </is>
      </c>
      <c r="C32" t="inlineStr">
        <is>
          <t>ml</t>
        </is>
      </c>
      <c r="D32" t="n">
        <v>88.7</v>
      </c>
      <c r="E32" t="n">
        <v>5000</v>
      </c>
      <c r="F32">
        <f>D32*E32</f>
        <v/>
      </c>
      <c r="G32">
        <f>ROUND(F32/1550, 2)</f>
        <v/>
      </c>
    </row>
    <row r="33">
      <c r="A33" t="n">
        <v>34</v>
      </c>
      <c r="B33" t="inlineStr">
        <is>
          <t>Ajuste de puertas herrajes</t>
        </is>
      </c>
      <c r="C33" t="inlineStr">
        <is>
          <t>u</t>
        </is>
      </c>
      <c r="D33" t="n">
        <v>3</v>
      </c>
      <c r="E33" t="n">
        <v>11000</v>
      </c>
      <c r="F33">
        <f>D33*E33</f>
        <v/>
      </c>
      <c r="G33">
        <f>ROUND(F33/1550, 2)</f>
        <v/>
      </c>
    </row>
    <row r="34">
      <c r="A34" t="n">
        <v>35</v>
      </c>
      <c r="B34" t="inlineStr">
        <is>
          <t>Latex interior  Paredes</t>
        </is>
      </c>
      <c r="C34" t="inlineStr">
        <is>
          <t>m2</t>
        </is>
      </c>
      <c r="D34" t="n">
        <v>137.5</v>
      </c>
      <c r="E34" t="n">
        <v>3530.8</v>
      </c>
      <c r="F34">
        <f>D34*E34</f>
        <v/>
      </c>
      <c r="G34">
        <f>ROUND(F34/1550, 2)</f>
        <v/>
      </c>
    </row>
    <row r="35">
      <c r="A35" t="n">
        <v>36</v>
      </c>
      <c r="B35" t="inlineStr">
        <is>
          <t>Latex interior cielorraso</t>
        </is>
      </c>
      <c r="C35" t="inlineStr">
        <is>
          <t>m2</t>
        </is>
      </c>
      <c r="D35" t="n">
        <v>55.75</v>
      </c>
      <c r="E35" t="n">
        <v>3530.8</v>
      </c>
      <c r="F35">
        <f>D35*E35</f>
        <v/>
      </c>
      <c r="G35">
        <f>ROUND(F35/1550, 2)</f>
        <v/>
      </c>
    </row>
    <row r="36">
      <c r="A36" t="n">
        <v>37</v>
      </c>
      <c r="B36" t="inlineStr">
        <is>
          <t>Estudio de suelos</t>
        </is>
      </c>
      <c r="C36" t="inlineStr">
        <is>
          <t>gl</t>
        </is>
      </c>
      <c r="D36" t="n">
        <v>1</v>
      </c>
      <c r="E36" t="n">
        <v>300000</v>
      </c>
      <c r="F36">
        <f>D36*E36</f>
        <v/>
      </c>
      <c r="G36">
        <f>ROUND(F36/1550, 2)</f>
        <v/>
      </c>
    </row>
    <row r="37">
      <c r="A37" t="n">
        <v>38</v>
      </c>
      <c r="B37" t="inlineStr">
        <is>
          <t>Mueble Cocina</t>
        </is>
      </c>
      <c r="C37" t="inlineStr">
        <is>
          <t>ml</t>
        </is>
      </c>
      <c r="D37" t="n">
        <v>1</v>
      </c>
      <c r="E37" t="n">
        <v>950000</v>
      </c>
      <c r="F37">
        <f>D37*E37</f>
        <v/>
      </c>
      <c r="G37">
        <f>ROUND(F37/1550, 2)</f>
        <v/>
      </c>
    </row>
    <row r="38">
      <c r="A38" t="n">
        <v>39</v>
      </c>
      <c r="B38" t="inlineStr">
        <is>
          <t>Division WPC incl. colocacion</t>
        </is>
      </c>
      <c r="C38" t="inlineStr">
        <is>
          <t>gl</t>
        </is>
      </c>
      <c r="D38" t="n">
        <v>1</v>
      </c>
      <c r="E38" t="n">
        <v>526315.7894736842</v>
      </c>
      <c r="F38">
        <f>D38*E38</f>
        <v/>
      </c>
      <c r="G38">
        <f>ROUND(F38/1550, 2)</f>
        <v/>
      </c>
    </row>
    <row r="39">
      <c r="A39" t="n">
        <v>40</v>
      </c>
      <c r="B39" t="inlineStr">
        <is>
          <t>Mesadas granito gris mara 2 cm incl. zocalo traforo</t>
        </is>
      </c>
      <c r="C39" t="inlineStr">
        <is>
          <t>m2</t>
        </is>
      </c>
      <c r="D39" t="n">
        <v>88.7</v>
      </c>
      <c r="E39" t="n">
        <v>290000</v>
      </c>
      <c r="F39">
        <f>D39*E39</f>
        <v/>
      </c>
      <c r="G39">
        <f>ROUND(F39/1550, 2)</f>
        <v/>
      </c>
    </row>
    <row r="40">
      <c r="A40" s="4" t="inlineStr">
        <is>
          <t>TOTAL</t>
        </is>
      </c>
      <c r="B40" s="5" t="n"/>
      <c r="C40" s="5" t="n"/>
      <c r="D40" s="5" t="n"/>
      <c r="E40" s="5" t="n"/>
      <c r="F40" s="4">
        <f>SUM(F4:F39)</f>
        <v/>
      </c>
      <c r="G40" s="4">
        <f>ROUND(F40/1550, 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1" t="inlineStr">
        <is>
          <t>ORIGEN ESENCIAL - RESUMEN DE COSTOS</t>
        </is>
      </c>
    </row>
    <row r="3">
      <c r="A3" s="6" t="inlineStr">
        <is>
          <t>TOTAL MATERIALES</t>
        </is>
      </c>
      <c r="B3" s="6">
        <f>Materiales!F40</f>
        <v/>
      </c>
      <c r="C3" s="6">
        <f>Materiales!G40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2026-10-08T21:40:00Z</dcterms:created>
  <dcterms:modified xmlns:dcterms="http://purl.org/dc/terms/" xmlns:xsi="http://www.w3.org/2001/XMLSchema-instance" xsi:type="dcterms:W3CDTF">2026-10-08T21:40:00Z</dcterms:modified>
</cp:coreProperties>
</file>