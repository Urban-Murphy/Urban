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urphyc1/Downloads/Aura /"/>
    </mc:Choice>
  </mc:AlternateContent>
  <xr:revisionPtr revIDLastSave="0" documentId="8_{2F290423-ADB5-5B4F-983F-0E3C7E164112}" xr6:coauthVersionLast="47" xr6:coauthVersionMax="47" xr10:uidLastSave="{00000000-0000-0000-0000-000000000000}"/>
  <bookViews>
    <workbookView xWindow="5580" yWindow="2300" windowWidth="26660" windowHeight="16940" xr2:uid="{3704DA9C-7B08-8746-A65B-3798950771AC}"/>
  </bookViews>
  <sheets>
    <sheet name="Mano de Obra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1" l="1"/>
  <c r="F44" i="1"/>
  <c r="F47" i="1"/>
  <c r="F48" i="1"/>
  <c r="F49" i="1"/>
  <c r="F50" i="1"/>
  <c r="F53" i="1"/>
  <c r="F57" i="1"/>
  <c r="F58" i="1"/>
  <c r="F59" i="1"/>
  <c r="F60" i="1"/>
  <c r="F61" i="1"/>
  <c r="F62" i="1"/>
  <c r="F63" i="1"/>
  <c r="F64" i="1"/>
  <c r="F4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1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4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13" i="1"/>
  <c r="F12" i="1"/>
  <c r="D70" i="1"/>
  <c r="D71" i="1"/>
  <c r="D69" i="1"/>
  <c r="C72" i="1"/>
  <c r="C69" i="1"/>
  <c r="C64" i="1"/>
  <c r="C66" i="1"/>
  <c r="C9" i="1"/>
  <c r="E80" i="1"/>
  <c r="E75" i="1"/>
  <c r="C70" i="1"/>
  <c r="D82" i="1"/>
  <c r="L61" i="1"/>
  <c r="L58" i="1"/>
  <c r="L59" i="1"/>
  <c r="L60" i="1"/>
  <c r="L62" i="1"/>
  <c r="J63" i="1"/>
  <c r="L54" i="1"/>
  <c r="L53" i="1"/>
  <c r="L52" i="1"/>
  <c r="L51" i="1"/>
  <c r="L55" i="1"/>
  <c r="J56" i="1"/>
  <c r="L48" i="1"/>
  <c r="L47" i="1"/>
  <c r="G47" i="1"/>
  <c r="L46" i="1"/>
  <c r="G46" i="1"/>
  <c r="L45" i="1"/>
  <c r="L44" i="1"/>
  <c r="L49" i="1"/>
  <c r="J49" i="1"/>
  <c r="C37" i="1"/>
  <c r="D9" i="1"/>
  <c r="H9" i="1"/>
  <c r="D22" i="1"/>
  <c r="D8" i="1"/>
  <c r="H8" i="1"/>
  <c r="D7" i="1"/>
  <c r="H7" i="1"/>
  <c r="D17" i="1"/>
  <c r="D6" i="1"/>
  <c r="D10" i="1"/>
  <c r="H6" i="1"/>
  <c r="H10" i="1"/>
  <c r="D67" i="1"/>
  <c r="D68" i="1"/>
  <c r="D16" i="1"/>
  <c r="D27" i="1"/>
  <c r="D74" i="1"/>
  <c r="D76" i="1"/>
  <c r="D77" i="1"/>
  <c r="C71" i="1"/>
  <c r="D79" i="1"/>
  <c r="D81" i="1"/>
  <c r="D28" i="1"/>
  <c r="D29" i="1"/>
  <c r="D30" i="1"/>
  <c r="D31" i="1"/>
</calcChain>
</file>

<file path=xl/sharedStrings.xml><?xml version="1.0" encoding="utf-8"?>
<sst xmlns="http://schemas.openxmlformats.org/spreadsheetml/2006/main" count="131" uniqueCount="96">
  <si>
    <t>Sup. Cubierta</t>
  </si>
  <si>
    <t>Rendimiento</t>
  </si>
  <si>
    <t>Dias Neces.</t>
  </si>
  <si>
    <t>SIP70 Ext</t>
  </si>
  <si>
    <t>m2</t>
  </si>
  <si>
    <t>m2/dia</t>
  </si>
  <si>
    <t>SIP70 Int</t>
  </si>
  <si>
    <t>SIP70 Entr.</t>
  </si>
  <si>
    <t>SIP50 Cubierta</t>
  </si>
  <si>
    <t>tot. dias</t>
  </si>
  <si>
    <t>Listado de tareas</t>
  </si>
  <si>
    <t>Personas</t>
  </si>
  <si>
    <t>Dias Necesarios</t>
  </si>
  <si>
    <t>Replanteo</t>
  </si>
  <si>
    <t>Entramado de madera horizontal</t>
  </si>
  <si>
    <t>Colocacion de solera base amure fenolico</t>
  </si>
  <si>
    <t>instalacion de paneles exteriores</t>
  </si>
  <si>
    <t>Instalacion de paneles interiores</t>
  </si>
  <si>
    <t>Entrepiso</t>
  </si>
  <si>
    <t xml:space="preserve">Dinteles </t>
  </si>
  <si>
    <t>Pintado de MDF Ranurado</t>
  </si>
  <si>
    <t xml:space="preserve">Pintado de cabios </t>
  </si>
  <si>
    <t>Cubierta SIP50</t>
  </si>
  <si>
    <t>colocacion de membrana alfajias y clavaderas</t>
  </si>
  <si>
    <t>colocacion de membrana y clavaderas muros ext.</t>
  </si>
  <si>
    <t>Encintados de ventanas</t>
  </si>
  <si>
    <t xml:space="preserve">Botagua </t>
  </si>
  <si>
    <t>Total dias necesarios</t>
  </si>
  <si>
    <t>Total de Dies Necesarios</t>
  </si>
  <si>
    <t>dias</t>
  </si>
  <si>
    <t>Cantidad de jornales necesarios</t>
  </si>
  <si>
    <t xml:space="preserve">Monto para cubrir Dias Necesarios con el Equipo </t>
  </si>
  <si>
    <t>Costo m2 cubierto</t>
  </si>
  <si>
    <t>Costo m2 cubierto dolares</t>
  </si>
  <si>
    <t>El equipo de instaladores consta de 1 of. Especializado+1 oficial+1Ayte</t>
  </si>
  <si>
    <t>Oficial Especializado</t>
  </si>
  <si>
    <t>Oficial</t>
  </si>
  <si>
    <t>Ayudante</t>
  </si>
  <si>
    <t>Dias 3 Personas</t>
  </si>
  <si>
    <t>Trabajos preparatorios</t>
  </si>
  <si>
    <t>obra gris</t>
  </si>
  <si>
    <t>Platea</t>
  </si>
  <si>
    <t>personas</t>
  </si>
  <si>
    <t>jornales</t>
  </si>
  <si>
    <t>Platea con malla simple</t>
  </si>
  <si>
    <t>Armado de encofrado lateral</t>
  </si>
  <si>
    <t>Instalacion sanitaria gris</t>
  </si>
  <si>
    <t>Colocacion de nylon y malla</t>
  </si>
  <si>
    <t>Instalacion electrica gris</t>
  </si>
  <si>
    <t xml:space="preserve">armado aranas y canerias electricas </t>
  </si>
  <si>
    <t>Colocacion de chapas</t>
  </si>
  <si>
    <t>Llenado</t>
  </si>
  <si>
    <t>Colocacion de zinguerias</t>
  </si>
  <si>
    <t>Desencofrado limpieza</t>
  </si>
  <si>
    <t>Colocacion de revestimiento muros exteriores</t>
  </si>
  <si>
    <t>dias 3 personas</t>
  </si>
  <si>
    <t>Colocacion de recuadros de vanos</t>
  </si>
  <si>
    <t>Instalacion Sanitaria</t>
  </si>
  <si>
    <t>Sellados especiales exteriores</t>
  </si>
  <si>
    <t>Agua fria y caliente canalizado</t>
  </si>
  <si>
    <t>Colocacion de Ventanas</t>
  </si>
  <si>
    <t>Agua fria y caliente tendido canerias</t>
  </si>
  <si>
    <t>Instalacion de revestimiento interior.</t>
  </si>
  <si>
    <t>Alim. Y Acometida de tanque cisterna</t>
  </si>
  <si>
    <t>Cableado electrico</t>
  </si>
  <si>
    <t>Terminaciones</t>
  </si>
  <si>
    <t>Cloaca desp. Arañas</t>
  </si>
  <si>
    <t>Colocacion de modulos</t>
  </si>
  <si>
    <t>Armado de tableros</t>
  </si>
  <si>
    <t>Pisos</t>
  </si>
  <si>
    <t>Instalacion Electrica</t>
  </si>
  <si>
    <t>Piso y revestimiento Baño y lavadero</t>
  </si>
  <si>
    <t>Electricidad canalizado</t>
  </si>
  <si>
    <t>Colocacion de puertas y herrajes</t>
  </si>
  <si>
    <t>Electricidad tendido canerias</t>
  </si>
  <si>
    <t>Colocacion de zocalos</t>
  </si>
  <si>
    <t>Alim. Y Acometida a tablero</t>
  </si>
  <si>
    <t>Pintura interior paredes</t>
  </si>
  <si>
    <t xml:space="preserve">Colocacion de modulos </t>
  </si>
  <si>
    <t xml:space="preserve">Pintura de puertas </t>
  </si>
  <si>
    <t>Pintura exterior paredes</t>
  </si>
  <si>
    <t>Contrapiso y carpeta exteriores</t>
  </si>
  <si>
    <t xml:space="preserve">Colocacion de artefactos sanit. Griferias </t>
  </si>
  <si>
    <t>Monto Jornales sin kit</t>
  </si>
  <si>
    <t>MdeObra gris</t>
  </si>
  <si>
    <t>MdeObra terminaciones</t>
  </si>
  <si>
    <t>Obra Gris MdeObra</t>
  </si>
  <si>
    <t>MdeO sin kit</t>
  </si>
  <si>
    <t>u$/m2</t>
  </si>
  <si>
    <t>MdeO kit</t>
  </si>
  <si>
    <t>MdeLLave Mano</t>
  </si>
  <si>
    <t>Plazo de obra</t>
  </si>
  <si>
    <t>Obra Llave en mano MdeObra</t>
  </si>
  <si>
    <t>MdeObra LL.Mano</t>
  </si>
  <si>
    <t xml:space="preserve">Obra Aura 72 m2 </t>
  </si>
  <si>
    <t>MdeObra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</si>
</sst>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\ * #,##0.00_);_(&quot;$&quot;\ * \(#,##0.00\);_(&quot;$&quot;\ 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3" fontId="0" fillId="0" borderId="9" xfId="1" applyFont="1" applyBorder="1"/>
    <xf numFmtId="164" fontId="0" fillId="0" borderId="9" xfId="1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3" fontId="0" fillId="0" borderId="12" xfId="0" applyNumberFormat="1" applyBorder="1"/>
    <xf numFmtId="164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5" fontId="0" fillId="0" borderId="10" xfId="0" applyNumberFormat="1" applyBorder="1"/>
    <xf numFmtId="44" fontId="0" fillId="0" borderId="10" xfId="2" applyFont="1" applyBorder="1"/>
    <xf numFmtId="44" fontId="0" fillId="0" borderId="13" xfId="2" applyFont="1" applyBorder="1"/>
    <xf numFmtId="165" fontId="0" fillId="0" borderId="6" xfId="1" applyNumberFormat="1" applyFont="1" applyBorder="1"/>
    <xf numFmtId="0" fontId="2" fillId="0" borderId="5" xfId="0" applyFont="1" applyBorder="1"/>
    <xf numFmtId="165" fontId="0" fillId="0" borderId="9" xfId="1" applyNumberFormat="1" applyFont="1" applyBorder="1"/>
    <xf numFmtId="0" fontId="2" fillId="0" borderId="27" xfId="0" applyFont="1" applyBorder="1"/>
    <xf numFmtId="0" fontId="0" fillId="0" borderId="28" xfId="0" applyBorder="1"/>
    <xf numFmtId="43" fontId="0" fillId="0" borderId="12" xfId="1" applyFont="1" applyBorder="1"/>
    <xf numFmtId="0" fontId="0" fillId="0" borderId="29" xfId="0" applyBorder="1"/>
    <xf numFmtId="44" fontId="0" fillId="0" borderId="9" xfId="2" applyFont="1" applyBorder="1"/>
    <xf numFmtId="43" fontId="2" fillId="0" borderId="9" xfId="1" applyFont="1" applyBorder="1"/>
    <xf numFmtId="165" fontId="0" fillId="0" borderId="9" xfId="0" applyNumberFormat="1" applyBorder="1"/>
    <xf numFmtId="9" fontId="0" fillId="0" borderId="9" xfId="3" applyFont="1" applyBorder="1"/>
    <xf numFmtId="0" fontId="0" fillId="0" borderId="27" xfId="0" applyBorder="1"/>
    <xf numFmtId="44" fontId="0" fillId="0" borderId="4" xfId="2" applyFont="1" applyBorder="1"/>
    <xf numFmtId="44" fontId="0" fillId="0" borderId="6" xfId="2" applyFont="1" applyBorder="1"/>
    <xf numFmtId="44" fontId="0" fillId="0" borderId="9" xfId="0" applyNumberFormat="1" applyBorder="1"/>
    <xf numFmtId="0" fontId="0" fillId="0" borderId="30" xfId="0" applyBorder="1"/>
    <xf numFmtId="0" fontId="0" fillId="0" borderId="9" xfId="0" applyBorder="1" applyAlignment="1">
      <alignment horizontal="right"/>
    </xf>
    <xf numFmtId="44" fontId="0" fillId="2" borderId="19" xfId="2" applyFont="1" applyFill="1" applyBorder="1"/>
    <xf numFmtId="44" fontId="0" fillId="2" borderId="20" xfId="2" applyFont="1" applyFill="1" applyBorder="1"/>
    <xf numFmtId="44" fontId="0" fillId="2" borderId="21" xfId="2" applyFont="1" applyFill="1" applyBorder="1"/>
    <xf numFmtId="44" fontId="0" fillId="2" borderId="22" xfId="2" applyFont="1" applyFill="1" applyBorder="1"/>
    <xf numFmtId="44" fontId="0" fillId="2" borderId="0" xfId="2" applyFont="1" applyFill="1" applyBorder="1"/>
    <xf numFmtId="44" fontId="0" fillId="2" borderId="23" xfId="2" applyFont="1" applyFill="1" applyBorder="1"/>
    <xf numFmtId="44" fontId="0" fillId="2" borderId="24" xfId="2" applyFont="1" applyFill="1" applyBorder="1"/>
    <xf numFmtId="44" fontId="0" fillId="2" borderId="25" xfId="2" applyFont="1" applyFill="1" applyBorder="1"/>
    <xf numFmtId="44" fontId="0" fillId="2" borderId="26" xfId="2" applyFont="1" applyFill="1" applyBorder="1"/>
    <xf numFmtId="0" fontId="0" fillId="0" borderId="17" xfId="0" applyBorder="1" applyAlignment="1">
      <alignment horizontal="right" wrapText="1"/>
    </xf>
    <xf numFmtId="0" fontId="0" fillId="0" borderId="18" xfId="0" applyBorder="1" applyAlignment="1">
      <alignment horizontal="right" wrapText="1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10" fontId="0" fillId="0" borderId="0" xfId="3" applyNumberFormat="1" applyFont="1"/>
    <xf numFmtId="44" fontId="0" fillId="0" borderId="0" xfId="2" applyFont="1"/>
    <xf numFmtId="44" fontId="0" fillId="0" borderId="10" xfId="0" applyNumberFormat="1" applyBorder="1"/>
  </cellXfs>
  <cellStyles count="5">
    <cellStyle name="Comma" xfId="1" builtinId="3"/>
    <cellStyle name="Currency" xfId="2" builtinId="4"/>
    <cellStyle name="Currency 2" xfId="4" xr:uid="{C61EE988-4CE4-8544-A079-921F5726EB87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B4D7-A23B-494C-A1CD-66252E28650A}">
  <sheetPr>
    <pageSetUpPr fitToPage="1"/>
  </sheetPr>
  <dimension ref="B2:M82"/>
  <sheetViews>
    <sheetView tabSelected="1" topLeftCell="A33" workbookViewId="0">
      <selection activeCell="F66" sqref="F66"/>
    </sheetView>
  </sheetViews>
  <sheetFormatPr baseColWidth="10" defaultRowHeight="16" x14ac:dyDescent="0.2"/>
  <cols>
    <col min="2" max="2" width="42.5" customWidth="1"/>
    <col min="3" max="4" width="15.5" bestFit="1" customWidth="1"/>
    <col min="5" max="7" width="14.5" bestFit="1" customWidth="1"/>
    <col min="8" max="8" width="13.83203125" customWidth="1"/>
    <col min="9" max="9" width="15.5" bestFit="1" customWidth="1"/>
    <col min="10" max="10" width="14.6640625" customWidth="1"/>
    <col min="11" max="11" width="14" bestFit="1" customWidth="1"/>
  </cols>
  <sheetData>
    <row r="2" spans="2:9" ht="21" x14ac:dyDescent="0.25">
      <c r="B2" s="1" t="s">
        <v>94</v>
      </c>
    </row>
    <row r="3" spans="2:9" ht="22" thickBot="1" x14ac:dyDescent="0.3">
      <c r="B3" s="1"/>
    </row>
    <row r="4" spans="2:9" ht="17" thickBot="1" x14ac:dyDescent="0.25">
      <c r="B4" s="2" t="s">
        <v>0</v>
      </c>
      <c r="C4" s="3">
        <v>72</v>
      </c>
      <c r="D4" s="4"/>
      <c r="E4" s="5"/>
      <c r="F4" s="5"/>
      <c r="G4" s="5"/>
      <c r="H4" s="5"/>
      <c r="I4" s="5"/>
    </row>
    <row r="5" spans="2:9" x14ac:dyDescent="0.2">
      <c r="B5" s="6"/>
      <c r="C5" s="7"/>
      <c r="D5" s="7"/>
      <c r="E5" s="7"/>
      <c r="F5" s="7" t="s">
        <v>1</v>
      </c>
      <c r="G5" s="7"/>
      <c r="H5" s="7" t="s">
        <v>2</v>
      </c>
      <c r="I5" s="8"/>
    </row>
    <row r="6" spans="2:9" x14ac:dyDescent="0.2">
      <c r="B6" s="9" t="s">
        <v>3</v>
      </c>
      <c r="C6" s="10">
        <v>46</v>
      </c>
      <c r="D6" s="11">
        <f>+C6*1.22*2.44</f>
        <v>136.93279999999999</v>
      </c>
      <c r="E6" s="10" t="s">
        <v>4</v>
      </c>
      <c r="F6" s="10">
        <v>23</v>
      </c>
      <c r="G6" s="10" t="s">
        <v>5</v>
      </c>
      <c r="H6" s="12">
        <f>+D6/F6</f>
        <v>5.9535999999999998</v>
      </c>
      <c r="I6" s="13"/>
    </row>
    <row r="7" spans="2:9" x14ac:dyDescent="0.2">
      <c r="B7" s="9" t="s">
        <v>6</v>
      </c>
      <c r="C7" s="10">
        <v>10</v>
      </c>
      <c r="D7" s="11">
        <f t="shared" ref="D7:D9" si="0">+C7*1.22*2.44</f>
        <v>29.767999999999997</v>
      </c>
      <c r="E7" s="10" t="s">
        <v>4</v>
      </c>
      <c r="F7" s="10">
        <v>23</v>
      </c>
      <c r="G7" s="10" t="s">
        <v>5</v>
      </c>
      <c r="H7" s="12">
        <f>+D7/F7</f>
        <v>1.2942608695652174</v>
      </c>
      <c r="I7" s="13"/>
    </row>
    <row r="8" spans="2:9" x14ac:dyDescent="0.2">
      <c r="B8" s="9" t="s">
        <v>7</v>
      </c>
      <c r="C8" s="10"/>
      <c r="D8" s="11">
        <f t="shared" si="0"/>
        <v>0</v>
      </c>
      <c r="E8" s="10" t="s">
        <v>4</v>
      </c>
      <c r="F8" s="10">
        <v>23</v>
      </c>
      <c r="G8" s="10" t="s">
        <v>5</v>
      </c>
      <c r="H8" s="12">
        <f>+D8/F8</f>
        <v>0</v>
      </c>
      <c r="I8" s="13"/>
    </row>
    <row r="9" spans="2:9" x14ac:dyDescent="0.2">
      <c r="B9" s="9" t="s">
        <v>8</v>
      </c>
      <c r="C9" s="10">
        <f>56/2</f>
        <v>28</v>
      </c>
      <c r="D9" s="11">
        <f t="shared" si="0"/>
        <v>83.350399999999993</v>
      </c>
      <c r="E9" s="10" t="s">
        <v>4</v>
      </c>
      <c r="F9" s="10">
        <v>23</v>
      </c>
      <c r="G9" s="10" t="s">
        <v>5</v>
      </c>
      <c r="H9" s="12">
        <f>+D9/F9</f>
        <v>3.6239304347826082</v>
      </c>
      <c r="I9" s="13"/>
    </row>
    <row r="10" spans="2:9" ht="17" thickBot="1" x14ac:dyDescent="0.25">
      <c r="B10" s="14"/>
      <c r="C10" s="15"/>
      <c r="D10" s="16">
        <f>SUM(D6:D9)</f>
        <v>250.05119999999999</v>
      </c>
      <c r="E10" s="15" t="s">
        <v>4</v>
      </c>
      <c r="F10" s="15"/>
      <c r="G10" s="15"/>
      <c r="H10" s="17">
        <f>SUM(H6:H9)</f>
        <v>10.871791304347825</v>
      </c>
      <c r="I10" s="18" t="s">
        <v>9</v>
      </c>
    </row>
    <row r="11" spans="2:9" ht="17" thickBot="1" x14ac:dyDescent="0.25"/>
    <row r="12" spans="2:9" ht="17" thickBot="1" x14ac:dyDescent="0.25">
      <c r="B12" s="19" t="s">
        <v>10</v>
      </c>
      <c r="C12" s="20" t="s">
        <v>11</v>
      </c>
      <c r="D12" s="21" t="s">
        <v>12</v>
      </c>
      <c r="F12" s="56">
        <f>350*C4</f>
        <v>25200</v>
      </c>
    </row>
    <row r="13" spans="2:9" x14ac:dyDescent="0.2">
      <c r="B13" s="6" t="s">
        <v>13</v>
      </c>
      <c r="C13" s="7">
        <v>3</v>
      </c>
      <c r="D13" s="8">
        <v>1</v>
      </c>
      <c r="E13" s="55">
        <f>+D13/$C$72</f>
        <v>1.3157894736842105E-2</v>
      </c>
      <c r="F13" s="56">
        <f>+$F$12*E13</f>
        <v>331.57894736842104</v>
      </c>
    </row>
    <row r="14" spans="2:9" x14ac:dyDescent="0.2">
      <c r="B14" s="9" t="s">
        <v>14</v>
      </c>
      <c r="C14" s="10"/>
      <c r="D14" s="13"/>
      <c r="E14" s="55">
        <f t="shared" ref="E14:E26" si="1">+D14/$C$72</f>
        <v>0</v>
      </c>
      <c r="F14" s="56">
        <f t="shared" ref="F14:F26" si="2">+$F$12*E14</f>
        <v>0</v>
      </c>
    </row>
    <row r="15" spans="2:9" x14ac:dyDescent="0.2">
      <c r="B15" s="9" t="s">
        <v>15</v>
      </c>
      <c r="C15" s="10">
        <v>3</v>
      </c>
      <c r="D15" s="13">
        <v>2</v>
      </c>
      <c r="E15" s="55">
        <f t="shared" si="1"/>
        <v>2.6315789473684209E-2</v>
      </c>
      <c r="F15" s="56">
        <f t="shared" si="2"/>
        <v>663.15789473684208</v>
      </c>
    </row>
    <row r="16" spans="2:9" x14ac:dyDescent="0.2">
      <c r="B16" s="9" t="s">
        <v>16</v>
      </c>
      <c r="C16" s="10">
        <v>3</v>
      </c>
      <c r="D16" s="22">
        <f>ROUNDUP(H6,0)</f>
        <v>6</v>
      </c>
      <c r="E16" s="55">
        <f t="shared" si="1"/>
        <v>7.8947368421052627E-2</v>
      </c>
      <c r="F16" s="56">
        <f t="shared" si="2"/>
        <v>1989.4736842105262</v>
      </c>
    </row>
    <row r="17" spans="2:6" x14ac:dyDescent="0.2">
      <c r="B17" s="9" t="s">
        <v>17</v>
      </c>
      <c r="C17" s="10">
        <v>3</v>
      </c>
      <c r="D17" s="22">
        <f>ROUNDUP(H7,0)</f>
        <v>2</v>
      </c>
      <c r="E17" s="55">
        <f t="shared" si="1"/>
        <v>2.6315789473684209E-2</v>
      </c>
      <c r="F17" s="56">
        <f t="shared" si="2"/>
        <v>663.15789473684208</v>
      </c>
    </row>
    <row r="18" spans="2:6" x14ac:dyDescent="0.2">
      <c r="B18" s="9" t="s">
        <v>18</v>
      </c>
      <c r="C18" s="10"/>
      <c r="D18" s="22"/>
      <c r="E18" s="55">
        <f t="shared" si="1"/>
        <v>0</v>
      </c>
      <c r="F18" s="56">
        <f t="shared" si="2"/>
        <v>0</v>
      </c>
    </row>
    <row r="19" spans="2:6" x14ac:dyDescent="0.2">
      <c r="B19" s="9" t="s">
        <v>19</v>
      </c>
      <c r="C19" s="10">
        <v>3</v>
      </c>
      <c r="D19" s="22">
        <v>1</v>
      </c>
      <c r="E19" s="55">
        <f t="shared" si="1"/>
        <v>1.3157894736842105E-2</v>
      </c>
      <c r="F19" s="56">
        <f t="shared" si="2"/>
        <v>331.57894736842104</v>
      </c>
    </row>
    <row r="20" spans="2:6" x14ac:dyDescent="0.2">
      <c r="B20" s="9" t="s">
        <v>20</v>
      </c>
      <c r="C20" s="10">
        <v>3</v>
      </c>
      <c r="D20" s="22">
        <v>1</v>
      </c>
      <c r="E20" s="55">
        <f t="shared" si="1"/>
        <v>1.3157894736842105E-2</v>
      </c>
      <c r="F20" s="56">
        <f t="shared" si="2"/>
        <v>331.57894736842104</v>
      </c>
    </row>
    <row r="21" spans="2:6" x14ac:dyDescent="0.2">
      <c r="B21" s="9" t="s">
        <v>21</v>
      </c>
      <c r="C21" s="10">
        <v>3</v>
      </c>
      <c r="D21" s="22">
        <v>1</v>
      </c>
      <c r="E21" s="55">
        <f t="shared" si="1"/>
        <v>1.3157894736842105E-2</v>
      </c>
      <c r="F21" s="56">
        <f t="shared" si="2"/>
        <v>331.57894736842104</v>
      </c>
    </row>
    <row r="22" spans="2:6" x14ac:dyDescent="0.2">
      <c r="B22" s="9" t="s">
        <v>22</v>
      </c>
      <c r="C22" s="10">
        <v>3</v>
      </c>
      <c r="D22" s="22">
        <f>ROUNDUP(H9,0)</f>
        <v>4</v>
      </c>
      <c r="E22" s="55">
        <f t="shared" si="1"/>
        <v>5.2631578947368418E-2</v>
      </c>
      <c r="F22" s="56">
        <f t="shared" si="2"/>
        <v>1326.3157894736842</v>
      </c>
    </row>
    <row r="23" spans="2:6" x14ac:dyDescent="0.2">
      <c r="B23" s="9" t="s">
        <v>23</v>
      </c>
      <c r="C23" s="10">
        <v>3</v>
      </c>
      <c r="D23" s="13">
        <v>1</v>
      </c>
      <c r="E23" s="55">
        <f t="shared" si="1"/>
        <v>1.3157894736842105E-2</v>
      </c>
      <c r="F23" s="56">
        <f t="shared" si="2"/>
        <v>331.57894736842104</v>
      </c>
    </row>
    <row r="24" spans="2:6" x14ac:dyDescent="0.2">
      <c r="B24" s="9" t="s">
        <v>24</v>
      </c>
      <c r="C24" s="10">
        <v>3</v>
      </c>
      <c r="D24" s="13">
        <v>1</v>
      </c>
      <c r="E24" s="55">
        <f t="shared" si="1"/>
        <v>1.3157894736842105E-2</v>
      </c>
      <c r="F24" s="56">
        <f t="shared" si="2"/>
        <v>331.57894736842104</v>
      </c>
    </row>
    <row r="25" spans="2:6" x14ac:dyDescent="0.2">
      <c r="B25" s="9" t="s">
        <v>25</v>
      </c>
      <c r="C25" s="10">
        <v>3</v>
      </c>
      <c r="D25" s="13">
        <v>1</v>
      </c>
      <c r="E25" s="55">
        <f t="shared" si="1"/>
        <v>1.3157894736842105E-2</v>
      </c>
      <c r="F25" s="56">
        <f t="shared" si="2"/>
        <v>331.57894736842104</v>
      </c>
    </row>
    <row r="26" spans="2:6" x14ac:dyDescent="0.2">
      <c r="B26" s="9" t="s">
        <v>26</v>
      </c>
      <c r="C26" s="10">
        <v>3</v>
      </c>
      <c r="D26" s="13">
        <v>1</v>
      </c>
      <c r="E26" s="55">
        <f t="shared" si="1"/>
        <v>1.3157894736842105E-2</v>
      </c>
      <c r="F26" s="56">
        <f t="shared" si="2"/>
        <v>331.57894736842104</v>
      </c>
    </row>
    <row r="27" spans="2:6" ht="16" customHeight="1" x14ac:dyDescent="0.2">
      <c r="B27" s="51" t="s">
        <v>27</v>
      </c>
      <c r="C27" s="52" t="s">
        <v>28</v>
      </c>
      <c r="D27" s="13">
        <f>SUM(D13:D26)</f>
        <v>22</v>
      </c>
      <c r="E27" t="s">
        <v>29</v>
      </c>
    </row>
    <row r="28" spans="2:6" ht="16" customHeight="1" x14ac:dyDescent="0.2">
      <c r="B28" s="53" t="s">
        <v>30</v>
      </c>
      <c r="C28" s="54"/>
      <c r="D28" s="13">
        <f>+D27*3</f>
        <v>66</v>
      </c>
    </row>
    <row r="29" spans="2:6" ht="17" customHeight="1" x14ac:dyDescent="0.2">
      <c r="B29" s="51" t="s">
        <v>31</v>
      </c>
      <c r="C29" s="52"/>
      <c r="D29" s="23">
        <f>+D27*240000</f>
        <v>5280000</v>
      </c>
    </row>
    <row r="30" spans="2:6" x14ac:dyDescent="0.2">
      <c r="B30" s="51" t="s">
        <v>32</v>
      </c>
      <c r="C30" s="52"/>
      <c r="D30" s="23">
        <f>+D29/C4</f>
        <v>73333.333333333328</v>
      </c>
    </row>
    <row r="31" spans="2:6" ht="17" thickBot="1" x14ac:dyDescent="0.25">
      <c r="B31" s="51" t="s">
        <v>33</v>
      </c>
      <c r="C31" s="52"/>
      <c r="D31" s="24">
        <f>+D30/1330</f>
        <v>55.13784461152882</v>
      </c>
    </row>
    <row r="32" spans="2:6" ht="17" thickBot="1" x14ac:dyDescent="0.25"/>
    <row r="33" spans="2:13" x14ac:dyDescent="0.2">
      <c r="B33" s="42" t="s">
        <v>34</v>
      </c>
      <c r="C33" s="43"/>
      <c r="D33" s="44"/>
    </row>
    <row r="34" spans="2:13" x14ac:dyDescent="0.2">
      <c r="B34" s="45" t="s">
        <v>35</v>
      </c>
      <c r="C34" s="46">
        <v>120000</v>
      </c>
      <c r="D34" s="47"/>
    </row>
    <row r="35" spans="2:13" x14ac:dyDescent="0.2">
      <c r="B35" s="45" t="s">
        <v>36</v>
      </c>
      <c r="C35" s="46">
        <v>70000</v>
      </c>
      <c r="D35" s="47"/>
    </row>
    <row r="36" spans="2:13" x14ac:dyDescent="0.2">
      <c r="B36" s="45" t="s">
        <v>37</v>
      </c>
      <c r="C36" s="46">
        <v>50000</v>
      </c>
      <c r="D36" s="47"/>
    </row>
    <row r="37" spans="2:13" ht="17" thickBot="1" x14ac:dyDescent="0.25">
      <c r="B37" s="48"/>
      <c r="C37" s="49">
        <f>SUM(C34:C36)</f>
        <v>240000</v>
      </c>
      <c r="D37" s="50"/>
    </row>
    <row r="42" spans="2:13" ht="17" thickBot="1" x14ac:dyDescent="0.25">
      <c r="C42" t="s">
        <v>38</v>
      </c>
    </row>
    <row r="43" spans="2:13" ht="17" thickBot="1" x14ac:dyDescent="0.25">
      <c r="B43" s="6" t="s">
        <v>39</v>
      </c>
      <c r="C43" s="25">
        <v>2</v>
      </c>
      <c r="D43" s="7" t="s">
        <v>40</v>
      </c>
      <c r="E43" s="55">
        <f>+C43/$C$72</f>
        <v>2.6315789473684209E-2</v>
      </c>
      <c r="F43" s="56">
        <f t="shared" ref="F43:F65" si="3">+$F$12*E43</f>
        <v>663.15789473684208</v>
      </c>
      <c r="H43" s="26" t="s">
        <v>41</v>
      </c>
      <c r="I43" s="7"/>
      <c r="J43" s="7" t="s">
        <v>29</v>
      </c>
      <c r="K43" s="7" t="s">
        <v>42</v>
      </c>
      <c r="L43" s="7" t="s">
        <v>43</v>
      </c>
      <c r="M43" s="8"/>
    </row>
    <row r="44" spans="2:13" ht="17" thickBot="1" x14ac:dyDescent="0.25">
      <c r="B44" s="6" t="s">
        <v>44</v>
      </c>
      <c r="C44" s="25">
        <v>7</v>
      </c>
      <c r="D44" s="7" t="s">
        <v>40</v>
      </c>
      <c r="E44" s="55">
        <f t="shared" ref="E44:E65" si="4">+C44/$C$72</f>
        <v>9.2105263157894732E-2</v>
      </c>
      <c r="F44" s="56">
        <f t="shared" si="3"/>
        <v>2321.0526315789471</v>
      </c>
      <c r="H44" s="9" t="s">
        <v>45</v>
      </c>
      <c r="I44" s="10"/>
      <c r="J44" s="10">
        <v>2</v>
      </c>
      <c r="K44" s="10">
        <v>3</v>
      </c>
      <c r="L44" s="10">
        <f>+K44*J44</f>
        <v>6</v>
      </c>
      <c r="M44" s="13"/>
    </row>
    <row r="45" spans="2:13" x14ac:dyDescent="0.2">
      <c r="B45" s="6" t="s">
        <v>46</v>
      </c>
      <c r="C45" s="25">
        <v>3</v>
      </c>
      <c r="D45" s="7" t="s">
        <v>40</v>
      </c>
      <c r="E45" s="55">
        <f t="shared" si="4"/>
        <v>3.9473684210526314E-2</v>
      </c>
      <c r="F45" s="56"/>
      <c r="H45" s="9" t="s">
        <v>47</v>
      </c>
      <c r="I45" s="10"/>
      <c r="J45" s="10">
        <v>1</v>
      </c>
      <c r="K45" s="10">
        <v>3</v>
      </c>
      <c r="L45" s="10">
        <f t="shared" ref="L45:L48" si="5">+K45*J45</f>
        <v>3</v>
      </c>
      <c r="M45" s="13"/>
    </row>
    <row r="46" spans="2:13" x14ac:dyDescent="0.2">
      <c r="B46" s="9" t="s">
        <v>48</v>
      </c>
      <c r="C46" s="27">
        <v>4</v>
      </c>
      <c r="D46" s="10" t="s">
        <v>40</v>
      </c>
      <c r="E46" s="55">
        <f t="shared" si="4"/>
        <v>5.2631578947368418E-2</v>
      </c>
      <c r="F46" s="56"/>
      <c r="G46">
        <f>7/12</f>
        <v>0.58333333333333337</v>
      </c>
      <c r="H46" s="9" t="s">
        <v>49</v>
      </c>
      <c r="I46" s="10"/>
      <c r="J46" s="10">
        <v>1</v>
      </c>
      <c r="K46" s="10">
        <v>3</v>
      </c>
      <c r="L46" s="10">
        <f t="shared" si="5"/>
        <v>3</v>
      </c>
      <c r="M46" s="13"/>
    </row>
    <row r="47" spans="2:13" x14ac:dyDescent="0.2">
      <c r="B47" s="9" t="s">
        <v>50</v>
      </c>
      <c r="C47" s="27">
        <v>2</v>
      </c>
      <c r="D47" s="10" t="s">
        <v>40</v>
      </c>
      <c r="E47" s="55">
        <f t="shared" si="4"/>
        <v>2.6315789473684209E-2</v>
      </c>
      <c r="F47" s="56">
        <f t="shared" si="3"/>
        <v>663.15789473684208</v>
      </c>
      <c r="G47">
        <f>5/12</f>
        <v>0.41666666666666669</v>
      </c>
      <c r="H47" s="9" t="s">
        <v>51</v>
      </c>
      <c r="I47" s="10"/>
      <c r="J47" s="10">
        <v>1</v>
      </c>
      <c r="K47" s="10">
        <v>5</v>
      </c>
      <c r="L47" s="10">
        <f t="shared" si="5"/>
        <v>5</v>
      </c>
      <c r="M47" s="13"/>
    </row>
    <row r="48" spans="2:13" x14ac:dyDescent="0.2">
      <c r="B48" s="9" t="s">
        <v>52</v>
      </c>
      <c r="C48" s="27">
        <v>1</v>
      </c>
      <c r="D48" s="10" t="s">
        <v>40</v>
      </c>
      <c r="E48" s="55">
        <f t="shared" si="4"/>
        <v>1.3157894736842105E-2</v>
      </c>
      <c r="F48" s="56">
        <f t="shared" si="3"/>
        <v>331.57894736842104</v>
      </c>
      <c r="H48" s="9" t="s">
        <v>53</v>
      </c>
      <c r="I48" s="10"/>
      <c r="J48" s="10">
        <v>1</v>
      </c>
      <c r="K48" s="10">
        <v>3</v>
      </c>
      <c r="L48" s="10">
        <f t="shared" si="5"/>
        <v>3</v>
      </c>
      <c r="M48" s="13"/>
    </row>
    <row r="49" spans="2:13" x14ac:dyDescent="0.2">
      <c r="B49" s="9" t="s">
        <v>54</v>
      </c>
      <c r="C49" s="27">
        <v>2</v>
      </c>
      <c r="D49" s="10" t="s">
        <v>40</v>
      </c>
      <c r="E49" s="55">
        <f t="shared" si="4"/>
        <v>2.6315789473684209E-2</v>
      </c>
      <c r="F49" s="56">
        <f t="shared" si="3"/>
        <v>663.15789473684208</v>
      </c>
      <c r="H49" s="9"/>
      <c r="I49" s="10" t="s">
        <v>55</v>
      </c>
      <c r="J49" s="11">
        <f>+L49/3</f>
        <v>6.666666666666667</v>
      </c>
      <c r="K49" s="10"/>
      <c r="L49" s="10">
        <f>SUM(L44:L48)</f>
        <v>20</v>
      </c>
      <c r="M49" s="13"/>
    </row>
    <row r="50" spans="2:13" ht="17" thickBot="1" x14ac:dyDescent="0.25">
      <c r="B50" s="9" t="s">
        <v>56</v>
      </c>
      <c r="C50" s="27">
        <v>1</v>
      </c>
      <c r="D50" s="10" t="s">
        <v>40</v>
      </c>
      <c r="E50" s="55">
        <f t="shared" si="4"/>
        <v>1.3157894736842105E-2</v>
      </c>
      <c r="F50" s="56">
        <f t="shared" si="3"/>
        <v>331.57894736842104</v>
      </c>
      <c r="H50" s="28" t="s">
        <v>57</v>
      </c>
      <c r="I50" s="5"/>
      <c r="J50" s="5"/>
      <c r="K50" s="5"/>
      <c r="L50" s="5"/>
      <c r="M50" s="29"/>
    </row>
    <row r="51" spans="2:13" x14ac:dyDescent="0.2">
      <c r="B51" s="9" t="s">
        <v>58</v>
      </c>
      <c r="C51" s="27">
        <v>1</v>
      </c>
      <c r="D51" s="10" t="s">
        <v>40</v>
      </c>
      <c r="E51" s="55">
        <f t="shared" si="4"/>
        <v>1.3157894736842105E-2</v>
      </c>
      <c r="F51" s="56"/>
      <c r="H51" s="6" t="s">
        <v>59</v>
      </c>
      <c r="I51" s="7"/>
      <c r="J51" s="7">
        <v>1</v>
      </c>
      <c r="K51" s="7">
        <v>1</v>
      </c>
      <c r="L51" s="7">
        <f>+K51*J51</f>
        <v>1</v>
      </c>
      <c r="M51" s="8"/>
    </row>
    <row r="52" spans="2:13" x14ac:dyDescent="0.2">
      <c r="B52" s="9" t="s">
        <v>60</v>
      </c>
      <c r="C52" s="27">
        <v>2</v>
      </c>
      <c r="D52" s="10" t="s">
        <v>40</v>
      </c>
      <c r="E52" s="55">
        <f t="shared" si="4"/>
        <v>2.6315789473684209E-2</v>
      </c>
      <c r="F52" s="56"/>
      <c r="H52" s="9" t="s">
        <v>61</v>
      </c>
      <c r="I52" s="10"/>
      <c r="J52" s="10">
        <v>1</v>
      </c>
      <c r="K52" s="10">
        <v>2</v>
      </c>
      <c r="L52" s="10">
        <f t="shared" ref="L52:L54" si="6">+K52*J52</f>
        <v>2</v>
      </c>
      <c r="M52" s="13"/>
    </row>
    <row r="53" spans="2:13" x14ac:dyDescent="0.2">
      <c r="B53" s="9" t="s">
        <v>62</v>
      </c>
      <c r="C53" s="27">
        <v>5</v>
      </c>
      <c r="D53" s="10" t="s">
        <v>40</v>
      </c>
      <c r="E53" s="55">
        <f t="shared" si="4"/>
        <v>6.5789473684210523E-2</v>
      </c>
      <c r="F53" s="56">
        <f t="shared" si="3"/>
        <v>1657.8947368421052</v>
      </c>
      <c r="H53" s="9" t="s">
        <v>63</v>
      </c>
      <c r="I53" s="10"/>
      <c r="J53" s="10">
        <v>1</v>
      </c>
      <c r="K53" s="10">
        <v>3</v>
      </c>
      <c r="L53" s="10">
        <f t="shared" si="6"/>
        <v>3</v>
      </c>
      <c r="M53" s="13"/>
    </row>
    <row r="54" spans="2:13" x14ac:dyDescent="0.2">
      <c r="B54" s="9" t="s">
        <v>64</v>
      </c>
      <c r="C54" s="27">
        <v>1.5</v>
      </c>
      <c r="D54" s="10" t="s">
        <v>65</v>
      </c>
      <c r="E54" s="55">
        <f t="shared" si="4"/>
        <v>1.9736842105263157E-2</v>
      </c>
      <c r="F54" s="56"/>
      <c r="H54" s="9" t="s">
        <v>66</v>
      </c>
      <c r="I54" s="10"/>
      <c r="J54" s="10">
        <v>1</v>
      </c>
      <c r="K54" s="10">
        <v>2</v>
      </c>
      <c r="L54" s="10">
        <f t="shared" si="6"/>
        <v>2</v>
      </c>
      <c r="M54" s="13"/>
    </row>
    <row r="55" spans="2:13" x14ac:dyDescent="0.2">
      <c r="B55" s="9" t="s">
        <v>67</v>
      </c>
      <c r="C55" s="27">
        <v>1.5</v>
      </c>
      <c r="D55" s="10" t="s">
        <v>65</v>
      </c>
      <c r="E55" s="55">
        <f t="shared" si="4"/>
        <v>1.9736842105263157E-2</v>
      </c>
      <c r="F55" s="56"/>
      <c r="H55" s="9"/>
      <c r="I55" s="10"/>
      <c r="J55" s="10"/>
      <c r="K55" s="10"/>
      <c r="L55" s="10">
        <f>SUM(L51:L54)</f>
        <v>8</v>
      </c>
      <c r="M55" s="13"/>
    </row>
    <row r="56" spans="2:13" ht="17" thickBot="1" x14ac:dyDescent="0.25">
      <c r="B56" s="9" t="s">
        <v>68</v>
      </c>
      <c r="C56" s="27">
        <v>1</v>
      </c>
      <c r="D56" s="10" t="s">
        <v>65</v>
      </c>
      <c r="E56" s="55">
        <f t="shared" si="4"/>
        <v>1.3157894736842105E-2</v>
      </c>
      <c r="F56" s="56"/>
      <c r="H56" s="14"/>
      <c r="I56" s="10" t="s">
        <v>55</v>
      </c>
      <c r="J56" s="30">
        <f>+L55/3</f>
        <v>2.6666666666666665</v>
      </c>
      <c r="K56" s="15"/>
      <c r="L56" s="15"/>
      <c r="M56" s="18"/>
    </row>
    <row r="57" spans="2:13" ht="17" thickBot="1" x14ac:dyDescent="0.25">
      <c r="B57" s="9" t="s">
        <v>69</v>
      </c>
      <c r="C57" s="27">
        <v>3</v>
      </c>
      <c r="D57" s="10" t="s">
        <v>65</v>
      </c>
      <c r="E57" s="55">
        <f t="shared" si="4"/>
        <v>3.9473684210526314E-2</v>
      </c>
      <c r="F57" s="56">
        <f t="shared" si="3"/>
        <v>994.73684210526312</v>
      </c>
      <c r="H57" s="31" t="s">
        <v>70</v>
      </c>
    </row>
    <row r="58" spans="2:13" x14ac:dyDescent="0.2">
      <c r="B58" s="9" t="s">
        <v>71</v>
      </c>
      <c r="C58" s="27">
        <v>2</v>
      </c>
      <c r="D58" s="10" t="s">
        <v>65</v>
      </c>
      <c r="E58" s="55">
        <f t="shared" si="4"/>
        <v>2.6315789473684209E-2</v>
      </c>
      <c r="F58" s="56">
        <f t="shared" si="3"/>
        <v>663.15789473684208</v>
      </c>
      <c r="H58" s="6" t="s">
        <v>72</v>
      </c>
      <c r="I58" s="7"/>
      <c r="J58" s="7">
        <v>2</v>
      </c>
      <c r="K58" s="7">
        <v>2</v>
      </c>
      <c r="L58" s="7">
        <f>+K58*J58</f>
        <v>4</v>
      </c>
      <c r="M58" s="8"/>
    </row>
    <row r="59" spans="2:13" x14ac:dyDescent="0.2">
      <c r="B59" s="9" t="s">
        <v>73</v>
      </c>
      <c r="C59" s="27">
        <v>2</v>
      </c>
      <c r="D59" s="10" t="s">
        <v>65</v>
      </c>
      <c r="E59" s="55">
        <f t="shared" si="4"/>
        <v>2.6315789473684209E-2</v>
      </c>
      <c r="F59" s="56">
        <f t="shared" si="3"/>
        <v>663.15789473684208</v>
      </c>
      <c r="H59" s="9" t="s">
        <v>74</v>
      </c>
      <c r="I59" s="10"/>
      <c r="J59" s="10">
        <v>1</v>
      </c>
      <c r="K59" s="10">
        <v>2</v>
      </c>
      <c r="L59" s="10">
        <f t="shared" ref="L59:L61" si="7">+K59*J59</f>
        <v>2</v>
      </c>
      <c r="M59" s="13"/>
    </row>
    <row r="60" spans="2:13" x14ac:dyDescent="0.2">
      <c r="B60" s="9" t="s">
        <v>75</v>
      </c>
      <c r="C60" s="27">
        <v>2</v>
      </c>
      <c r="D60" s="10" t="s">
        <v>65</v>
      </c>
      <c r="E60" s="55">
        <f t="shared" si="4"/>
        <v>2.6315789473684209E-2</v>
      </c>
      <c r="F60" s="56">
        <f t="shared" si="3"/>
        <v>663.15789473684208</v>
      </c>
      <c r="H60" s="9" t="s">
        <v>76</v>
      </c>
      <c r="I60" s="10"/>
      <c r="J60" s="10">
        <v>1</v>
      </c>
      <c r="K60" s="10">
        <v>3</v>
      </c>
      <c r="L60" s="10">
        <f t="shared" si="7"/>
        <v>3</v>
      </c>
      <c r="M60" s="13"/>
    </row>
    <row r="61" spans="2:13" x14ac:dyDescent="0.2">
      <c r="B61" s="9" t="s">
        <v>77</v>
      </c>
      <c r="C61" s="27">
        <v>5</v>
      </c>
      <c r="D61" s="10" t="s">
        <v>65</v>
      </c>
      <c r="E61" s="55">
        <f t="shared" si="4"/>
        <v>6.5789473684210523E-2</v>
      </c>
      <c r="F61" s="56">
        <f t="shared" si="3"/>
        <v>1657.8947368421052</v>
      </c>
      <c r="H61" s="9" t="s">
        <v>78</v>
      </c>
      <c r="I61" s="10"/>
      <c r="J61" s="10">
        <v>1</v>
      </c>
      <c r="K61" s="10">
        <v>2</v>
      </c>
      <c r="L61" s="10">
        <f t="shared" si="7"/>
        <v>2</v>
      </c>
      <c r="M61" s="13"/>
    </row>
    <row r="62" spans="2:13" x14ac:dyDescent="0.2">
      <c r="B62" s="9" t="s">
        <v>79</v>
      </c>
      <c r="C62" s="27">
        <v>2</v>
      </c>
      <c r="D62" s="10" t="s">
        <v>65</v>
      </c>
      <c r="E62" s="55">
        <f t="shared" si="4"/>
        <v>2.6315789473684209E-2</v>
      </c>
      <c r="F62" s="56">
        <f t="shared" si="3"/>
        <v>663.15789473684208</v>
      </c>
      <c r="H62" s="9"/>
      <c r="I62" s="10"/>
      <c r="J62" s="10"/>
      <c r="K62" s="10"/>
      <c r="L62" s="10">
        <f>SUM(L58:L61)</f>
        <v>11</v>
      </c>
      <c r="M62" s="13"/>
    </row>
    <row r="63" spans="2:13" ht="17" thickBot="1" x14ac:dyDescent="0.25">
      <c r="B63" s="9" t="s">
        <v>80</v>
      </c>
      <c r="C63" s="27">
        <v>5</v>
      </c>
      <c r="D63" s="10" t="s">
        <v>65</v>
      </c>
      <c r="E63" s="55">
        <f t="shared" si="4"/>
        <v>6.5789473684210523E-2</v>
      </c>
      <c r="F63" s="56">
        <f t="shared" si="3"/>
        <v>1657.8947368421052</v>
      </c>
      <c r="H63" s="14"/>
      <c r="I63" s="10" t="s">
        <v>55</v>
      </c>
      <c r="J63" s="30">
        <f>+L62/3</f>
        <v>3.6666666666666665</v>
      </c>
      <c r="K63" s="15"/>
      <c r="L63" s="15"/>
      <c r="M63" s="18"/>
    </row>
    <row r="64" spans="2:13" x14ac:dyDescent="0.2">
      <c r="B64" s="9" t="s">
        <v>81</v>
      </c>
      <c r="C64" s="27">
        <f>90/5/3</f>
        <v>6</v>
      </c>
      <c r="D64" s="10" t="s">
        <v>65</v>
      </c>
      <c r="E64" s="55">
        <f t="shared" si="4"/>
        <v>7.8947368421052627E-2</v>
      </c>
      <c r="F64" s="56">
        <f t="shared" si="3"/>
        <v>1989.4736842105262</v>
      </c>
    </row>
    <row r="65" spans="2:6" x14ac:dyDescent="0.2">
      <c r="B65" s="9" t="s">
        <v>82</v>
      </c>
      <c r="C65" s="27">
        <v>2</v>
      </c>
      <c r="D65" s="10" t="s">
        <v>65</v>
      </c>
      <c r="E65" s="55">
        <f t="shared" si="4"/>
        <v>2.6315789473684209E-2</v>
      </c>
      <c r="F65" s="56"/>
    </row>
    <row r="66" spans="2:6" x14ac:dyDescent="0.2">
      <c r="B66" s="9"/>
      <c r="C66" s="34">
        <f>SUM(C45:C65)</f>
        <v>54</v>
      </c>
      <c r="D66" s="32">
        <v>280000</v>
      </c>
      <c r="E66" s="33"/>
      <c r="F66" s="57">
        <f>SUM(F13:F65)</f>
        <v>22878.947368421053</v>
      </c>
    </row>
    <row r="67" spans="2:6" x14ac:dyDescent="0.2">
      <c r="B67" s="9" t="s">
        <v>83</v>
      </c>
      <c r="C67" s="10"/>
      <c r="D67" s="32">
        <f>+D66*C66</f>
        <v>15120000</v>
      </c>
      <c r="E67" s="10"/>
      <c r="F67" s="13"/>
    </row>
    <row r="68" spans="2:6" x14ac:dyDescent="0.2">
      <c r="B68" s="9"/>
      <c r="C68" s="10"/>
      <c r="D68" s="32">
        <f>+D67/1450</f>
        <v>10427.586206896553</v>
      </c>
      <c r="E68" s="10"/>
      <c r="F68" s="13"/>
    </row>
    <row r="69" spans="2:6" x14ac:dyDescent="0.2">
      <c r="B69" s="9" t="s">
        <v>95</v>
      </c>
      <c r="C69" s="34">
        <f>+D27</f>
        <v>22</v>
      </c>
      <c r="D69" s="35">
        <f>+C69/$C$72</f>
        <v>0.28947368421052633</v>
      </c>
      <c r="E69" s="10"/>
      <c r="F69" s="13"/>
    </row>
    <row r="70" spans="2:6" x14ac:dyDescent="0.2">
      <c r="B70" s="9" t="s">
        <v>84</v>
      </c>
      <c r="C70" s="34">
        <f>SUM(C43:C53)</f>
        <v>30</v>
      </c>
      <c r="D70" s="35">
        <f t="shared" ref="D70:D71" si="8">+C70/$C$72</f>
        <v>0.39473684210526316</v>
      </c>
      <c r="E70" s="10"/>
      <c r="F70" s="13"/>
    </row>
    <row r="71" spans="2:6" x14ac:dyDescent="0.2">
      <c r="B71" s="9" t="s">
        <v>85</v>
      </c>
      <c r="C71" s="34">
        <f>+C66-C70</f>
        <v>24</v>
      </c>
      <c r="D71" s="35">
        <f t="shared" si="8"/>
        <v>0.31578947368421051</v>
      </c>
      <c r="E71" s="10"/>
      <c r="F71" s="13"/>
    </row>
    <row r="72" spans="2:6" x14ac:dyDescent="0.2">
      <c r="B72" s="9"/>
      <c r="C72" s="34">
        <f>+C71+C70+C69</f>
        <v>76</v>
      </c>
      <c r="D72" s="32"/>
      <c r="E72" s="10"/>
      <c r="F72" s="13"/>
    </row>
    <row r="73" spans="2:6" ht="17" thickBot="1" x14ac:dyDescent="0.25">
      <c r="B73" s="36"/>
      <c r="C73" s="5"/>
      <c r="D73" s="37"/>
      <c r="E73" s="5"/>
      <c r="F73" s="29"/>
    </row>
    <row r="74" spans="2:6" x14ac:dyDescent="0.2">
      <c r="B74" s="6" t="s">
        <v>86</v>
      </c>
      <c r="C74" s="7" t="s">
        <v>87</v>
      </c>
      <c r="D74" s="38">
        <f>+C70*D66/1450/C4</f>
        <v>80.459770114942529</v>
      </c>
      <c r="E74" s="7" t="s">
        <v>88</v>
      </c>
      <c r="F74" s="8"/>
    </row>
    <row r="75" spans="2:6" x14ac:dyDescent="0.2">
      <c r="B75" s="9"/>
      <c r="C75" s="10" t="s">
        <v>89</v>
      </c>
      <c r="D75" s="32">
        <v>60</v>
      </c>
      <c r="E75" s="10" t="str">
        <f>+E74</f>
        <v>u$/m2</v>
      </c>
      <c r="F75" s="13"/>
    </row>
    <row r="76" spans="2:6" x14ac:dyDescent="0.2">
      <c r="B76" s="9"/>
      <c r="C76" s="10" t="s">
        <v>90</v>
      </c>
      <c r="D76" s="39">
        <f>+D75+D74</f>
        <v>140.45977011494253</v>
      </c>
      <c r="E76" s="10"/>
      <c r="F76" s="13"/>
    </row>
    <row r="77" spans="2:6" ht="17" thickBot="1" x14ac:dyDescent="0.25">
      <c r="B77" s="14"/>
      <c r="C77" s="15" t="s">
        <v>91</v>
      </c>
      <c r="D77" s="16">
        <f>+C70</f>
        <v>30</v>
      </c>
      <c r="E77" s="15"/>
      <c r="F77" s="18"/>
    </row>
    <row r="78" spans="2:6" ht="17" thickBot="1" x14ac:dyDescent="0.25">
      <c r="B78" s="40"/>
      <c r="C78" s="40"/>
      <c r="D78" s="40"/>
      <c r="E78" s="40"/>
      <c r="F78" s="40"/>
    </row>
    <row r="79" spans="2:6" x14ac:dyDescent="0.2">
      <c r="B79" s="6" t="s">
        <v>92</v>
      </c>
      <c r="C79" s="7" t="s">
        <v>87</v>
      </c>
      <c r="D79" s="38">
        <f>+C72*D66/1450/C4</f>
        <v>203.83141762452109</v>
      </c>
      <c r="E79" s="7" t="s">
        <v>88</v>
      </c>
      <c r="F79" s="8"/>
    </row>
    <row r="80" spans="2:6" x14ac:dyDescent="0.2">
      <c r="B80" s="9"/>
      <c r="C80" s="10" t="s">
        <v>89</v>
      </c>
      <c r="D80" s="32">
        <v>60</v>
      </c>
      <c r="E80" s="10" t="str">
        <f>+E79</f>
        <v>u$/m2</v>
      </c>
      <c r="F80" s="13"/>
    </row>
    <row r="81" spans="2:6" x14ac:dyDescent="0.2">
      <c r="B81" s="9"/>
      <c r="C81" s="41" t="s">
        <v>93</v>
      </c>
      <c r="D81" s="39">
        <f>+D80+D79</f>
        <v>263.83141762452112</v>
      </c>
      <c r="E81" s="10"/>
      <c r="F81" s="13"/>
    </row>
    <row r="82" spans="2:6" ht="17" thickBot="1" x14ac:dyDescent="0.25">
      <c r="B82" s="14"/>
      <c r="C82" s="15" t="s">
        <v>91</v>
      </c>
      <c r="D82" s="16">
        <f>+C66</f>
        <v>54</v>
      </c>
      <c r="E82" s="15"/>
      <c r="F82" s="18"/>
    </row>
  </sheetData>
  <mergeCells count="5"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scale="8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Mano de Obra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2026-06-02T16:34:57Z</dcterms:created>
  <dcterms:modified xsi:type="dcterms:W3CDTF">2026-09-12T10:14:52Z</dcterms:modified>
</cp:coreProperties>
</file>