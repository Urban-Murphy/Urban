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amurphyc1/Downloads/Aura /"/>
    </mc:Choice>
  </mc:AlternateContent>
  <xr:revisionPtr revIDLastSave="0" documentId="13_ncr:1_{67DD2B44-35CC-5B49-997A-A2A375798059}" xr6:coauthVersionLast="47" xr6:coauthVersionMax="47" xr10:uidLastSave="{00000000-0000-0000-0000-000000000000}"/>
  <bookViews>
    <workbookView xWindow="2680" yWindow="800" windowWidth="27220" windowHeight="19540" activeTab="2" xr2:uid="{90ADF663-E562-8A4E-BE21-6DEFC88744E3}"/>
  </bookViews>
  <sheets>
    <sheet name="Mat. Electricos" sheetId="5" r:id="rId1"/>
    <sheet name="Mat. Sanit." sheetId="6" r:id="rId2"/>
    <sheet name="Materiales" sheetId="1" r:id="rId3"/>
    <sheet name="PerimySup" sheetId="3" r:id="rId4"/>
    <sheet name="Aux" sheetId="4" r:id="rId5"/>
    <sheet name="Consultas" sheetId="2" r:id="rId6"/>
  </sheets>
  <externalReferences>
    <externalReference r:id="rId7"/>
    <externalReference r:id="rId8"/>
  </externalReferences>
  <definedNames>
    <definedName name="PMAT">'[1]LISTA PRECIOS'!$B$3:$F$355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70" i="1" l="1"/>
  <c r="F69" i="1"/>
  <c r="F68" i="1"/>
  <c r="I7" i="1" l="1"/>
  <c r="I8" i="1"/>
  <c r="I18" i="1"/>
  <c r="J39" i="1"/>
  <c r="D122" i="4"/>
  <c r="E122" i="4" s="1"/>
  <c r="E123" i="4" s="1"/>
  <c r="E124" i="4" s="1"/>
  <c r="E126" i="4" s="1"/>
  <c r="E25" i="1" s="1"/>
  <c r="F77" i="1"/>
  <c r="E6" i="1"/>
  <c r="F6" i="1" s="1"/>
  <c r="I6" i="1" s="1"/>
  <c r="F7" i="1"/>
  <c r="E8" i="1"/>
  <c r="D8" i="1"/>
  <c r="F8" i="1"/>
  <c r="E9" i="1"/>
  <c r="F9" i="1" s="1"/>
  <c r="I9" i="1" s="1"/>
  <c r="D9" i="1"/>
  <c r="D11" i="1" s="1"/>
  <c r="F11" i="1" s="1"/>
  <c r="I11" i="1" s="1"/>
  <c r="E10" i="1"/>
  <c r="F10" i="1" s="1"/>
  <c r="I10" i="1" s="1"/>
  <c r="D10" i="1"/>
  <c r="E11" i="1"/>
  <c r="F12" i="1"/>
  <c r="I12" i="1" s="1"/>
  <c r="F13" i="1"/>
  <c r="I13" i="1" s="1"/>
  <c r="F14" i="1"/>
  <c r="I14" i="1" s="1"/>
  <c r="F15" i="1"/>
  <c r="I15" i="1" s="1"/>
  <c r="F16" i="1"/>
  <c r="I16" i="1" s="1"/>
  <c r="F17" i="1"/>
  <c r="I17" i="1" s="1"/>
  <c r="E18" i="1"/>
  <c r="F18" i="1"/>
  <c r="E19" i="1"/>
  <c r="D19" i="1"/>
  <c r="F20" i="1"/>
  <c r="I20" i="1" s="1"/>
  <c r="E21" i="1"/>
  <c r="F21" i="1" s="1"/>
  <c r="J21" i="1" s="1"/>
  <c r="D21" i="1"/>
  <c r="E22" i="1"/>
  <c r="D22" i="1"/>
  <c r="F22" i="1"/>
  <c r="J22" i="1" s="1"/>
  <c r="F23" i="1"/>
  <c r="I23" i="1" s="1"/>
  <c r="E24" i="1"/>
  <c r="F24" i="1" s="1"/>
  <c r="I24" i="1" s="1"/>
  <c r="D24" i="1"/>
  <c r="D25" i="1"/>
  <c r="D26" i="1"/>
  <c r="F26" i="1"/>
  <c r="I26" i="1" s="1"/>
  <c r="D27" i="1"/>
  <c r="F27" i="1" s="1"/>
  <c r="I27" i="1" s="1"/>
  <c r="D28" i="1"/>
  <c r="F28" i="1" s="1"/>
  <c r="I28" i="1" s="1"/>
  <c r="D29" i="1"/>
  <c r="F29" i="1" s="1"/>
  <c r="I29" i="1" s="1"/>
  <c r="D30" i="1"/>
  <c r="F30" i="1"/>
  <c r="I30" i="1" s="1"/>
  <c r="F31" i="1"/>
  <c r="I31" i="1" s="1"/>
  <c r="F32" i="1"/>
  <c r="I32" i="1" s="1"/>
  <c r="E33" i="1"/>
  <c r="F33" i="1" s="1"/>
  <c r="E34" i="1"/>
  <c r="F34" i="1"/>
  <c r="J34" i="1" s="1"/>
  <c r="F35" i="1"/>
  <c r="I35" i="1" s="1"/>
  <c r="F36" i="1"/>
  <c r="I36" i="1" s="1"/>
  <c r="F37" i="1"/>
  <c r="E38" i="1"/>
  <c r="D38" i="1"/>
  <c r="F39" i="1"/>
  <c r="F40" i="1"/>
  <c r="I40" i="1" s="1"/>
  <c r="F41" i="1"/>
  <c r="I41" i="1" s="1"/>
  <c r="F42" i="1"/>
  <c r="D43" i="1"/>
  <c r="F43" i="1" s="1"/>
  <c r="J43" i="1" s="1"/>
  <c r="D44" i="1"/>
  <c r="F44" i="1" s="1"/>
  <c r="J44" i="1" s="1"/>
  <c r="D45" i="1"/>
  <c r="F45" i="1"/>
  <c r="J45" i="1" s="1"/>
  <c r="F46" i="1"/>
  <c r="J46" i="1" s="1"/>
  <c r="F47" i="1"/>
  <c r="J47" i="1" s="1"/>
  <c r="F48" i="1"/>
  <c r="J48" i="1" s="1"/>
  <c r="E49" i="1"/>
  <c r="F49" i="1" s="1"/>
  <c r="J49" i="1" s="1"/>
  <c r="D49" i="1"/>
  <c r="D50" i="1"/>
  <c r="F51" i="1"/>
  <c r="J51" i="1" s="1"/>
  <c r="F52" i="1"/>
  <c r="J52" i="1" s="1"/>
  <c r="F53" i="1"/>
  <c r="J53" i="1" s="1"/>
  <c r="E54" i="1"/>
  <c r="F54" i="1" s="1"/>
  <c r="J54" i="1" s="1"/>
  <c r="D55" i="1"/>
  <c r="F55" i="1" s="1"/>
  <c r="J55" i="1" s="1"/>
  <c r="F57" i="1"/>
  <c r="F64" i="1"/>
  <c r="F75" i="1"/>
  <c r="F74" i="1"/>
  <c r="H74" i="1" s="1"/>
  <c r="C38" i="1"/>
  <c r="C185" i="4"/>
  <c r="D185" i="4"/>
  <c r="U20" i="3"/>
  <c r="F10" i="3"/>
  <c r="B132" i="4"/>
  <c r="B100" i="4"/>
  <c r="E74" i="4"/>
  <c r="E73" i="4"/>
  <c r="B34" i="4"/>
  <c r="E12" i="5"/>
  <c r="E37" i="5"/>
  <c r="M5" i="5"/>
  <c r="M6" i="5"/>
  <c r="M18" i="5"/>
  <c r="M25" i="5"/>
  <c r="M32" i="5"/>
  <c r="M52" i="5"/>
  <c r="M53" i="5"/>
  <c r="E36" i="5"/>
  <c r="E42" i="5"/>
  <c r="N52" i="5"/>
  <c r="N5" i="5"/>
  <c r="N53" i="5"/>
  <c r="P5" i="5"/>
  <c r="O5" i="5"/>
  <c r="O53" i="5"/>
  <c r="P53" i="5"/>
  <c r="K48" i="5"/>
  <c r="K50" i="5"/>
  <c r="K49" i="5"/>
  <c r="E32" i="5"/>
  <c r="E30" i="5"/>
  <c r="E4" i="5"/>
  <c r="E39" i="5"/>
  <c r="E38" i="5"/>
  <c r="E24" i="5"/>
  <c r="E5" i="5"/>
  <c r="E23" i="5"/>
  <c r="E10" i="5"/>
  <c r="E11" i="5"/>
  <c r="E15" i="5"/>
  <c r="U14" i="3"/>
  <c r="S32" i="3"/>
  <c r="T47" i="3"/>
  <c r="Q25" i="3"/>
  <c r="Q18" i="3"/>
  <c r="Q16" i="3"/>
  <c r="Q31" i="3"/>
  <c r="Q47" i="3"/>
  <c r="Q48" i="3"/>
  <c r="Q45" i="3"/>
  <c r="Q39" i="3"/>
  <c r="Q40" i="3"/>
  <c r="Q41" i="3"/>
  <c r="Q38" i="3"/>
  <c r="Q46" i="3"/>
  <c r="Q37" i="3"/>
  <c r="E178" i="4"/>
  <c r="E179" i="4"/>
  <c r="E180" i="4"/>
  <c r="E181" i="4"/>
  <c r="E182" i="4"/>
  <c r="D150" i="4"/>
  <c r="D151" i="4"/>
  <c r="D152" i="4"/>
  <c r="D153" i="4"/>
  <c r="D154" i="4"/>
  <c r="D155" i="4"/>
  <c r="D174" i="4"/>
  <c r="D173" i="4"/>
  <c r="D172" i="4"/>
  <c r="D171" i="4"/>
  <c r="D170" i="4"/>
  <c r="E166" i="4"/>
  <c r="E165" i="4"/>
  <c r="E167" i="4"/>
  <c r="E161" i="4"/>
  <c r="E160" i="4"/>
  <c r="B159" i="4"/>
  <c r="E159" i="4"/>
  <c r="E125" i="4"/>
  <c r="E103" i="4"/>
  <c r="E102" i="4"/>
  <c r="E89" i="4"/>
  <c r="B88" i="4"/>
  <c r="E88" i="4"/>
  <c r="B87" i="4"/>
  <c r="E87" i="4"/>
  <c r="E86" i="4"/>
  <c r="E82" i="4"/>
  <c r="B81" i="4"/>
  <c r="E81" i="4"/>
  <c r="B80" i="4"/>
  <c r="E80" i="4"/>
  <c r="E79" i="4"/>
  <c r="E44" i="4"/>
  <c r="E43" i="4"/>
  <c r="E42" i="4"/>
  <c r="E104" i="4"/>
  <c r="D175" i="4"/>
  <c r="E162" i="4"/>
  <c r="E90" i="4"/>
  <c r="E83" i="4"/>
  <c r="E45" i="4"/>
  <c r="E38" i="4"/>
  <c r="E37" i="4"/>
  <c r="E36" i="4"/>
  <c r="E35" i="4"/>
  <c r="C147" i="4"/>
  <c r="E39" i="4"/>
  <c r="E54" i="4"/>
  <c r="E53" i="4"/>
  <c r="E52" i="4"/>
  <c r="E51" i="4"/>
  <c r="F24" i="4"/>
  <c r="F23" i="4"/>
  <c r="F22" i="4"/>
  <c r="F21" i="4"/>
  <c r="E112" i="4"/>
  <c r="E113" i="4"/>
  <c r="E114" i="4"/>
  <c r="E116" i="4"/>
  <c r="D109" i="4"/>
  <c r="D108" i="4"/>
  <c r="B115" i="4"/>
  <c r="E115" i="4"/>
  <c r="E117" i="4"/>
  <c r="E119" i="4"/>
  <c r="E55" i="4"/>
  <c r="F25" i="4"/>
  <c r="D110" i="4"/>
  <c r="B122" i="4"/>
  <c r="N5" i="3"/>
  <c r="N6" i="3"/>
  <c r="N7" i="3"/>
  <c r="N4" i="3"/>
  <c r="N8" i="3"/>
  <c r="M4" i="3"/>
  <c r="D70" i="4"/>
  <c r="E75" i="4"/>
  <c r="E59" i="4"/>
  <c r="E60" i="4"/>
  <c r="E61" i="4"/>
  <c r="E62" i="4"/>
  <c r="E63" i="4"/>
  <c r="E64" i="4"/>
  <c r="E65" i="4"/>
  <c r="A18" i="4"/>
  <c r="A19" i="4"/>
  <c r="A33" i="4"/>
  <c r="A8" i="4"/>
  <c r="L4" i="3"/>
  <c r="L8" i="3"/>
  <c r="H5" i="3"/>
  <c r="H8" i="3"/>
  <c r="G5" i="3"/>
  <c r="G8" i="3"/>
  <c r="S9" i="3"/>
  <c r="R9" i="3"/>
  <c r="Q9" i="3"/>
  <c r="P9" i="3"/>
  <c r="D8" i="3"/>
  <c r="K7" i="3"/>
  <c r="I7" i="3"/>
  <c r="M7" i="3"/>
  <c r="K6" i="3"/>
  <c r="I6" i="3"/>
  <c r="M6" i="3"/>
  <c r="J5" i="3"/>
  <c r="J8" i="3"/>
  <c r="I5" i="3"/>
  <c r="K4" i="3"/>
  <c r="I4" i="3"/>
  <c r="M5" i="3"/>
  <c r="M8" i="3"/>
  <c r="E66" i="4"/>
  <c r="E76" i="4"/>
  <c r="B121" i="4"/>
  <c r="E121" i="4"/>
  <c r="T9" i="3"/>
  <c r="I8" i="3"/>
  <c r="F8" i="3"/>
  <c r="K8" i="3"/>
  <c r="F60" i="1" l="1"/>
  <c r="F76" i="1"/>
  <c r="H75" i="1"/>
  <c r="J68" i="1" s="1"/>
  <c r="J69" i="1" s="1"/>
  <c r="F38" i="1"/>
  <c r="F19" i="1"/>
  <c r="I19" i="1" s="1"/>
  <c r="I33" i="1"/>
  <c r="J33" i="1"/>
  <c r="I38" i="1"/>
  <c r="J38" i="1"/>
  <c r="E50" i="1"/>
  <c r="F50" i="1" s="1"/>
  <c r="J50" i="1" s="1"/>
  <c r="I37" i="1"/>
  <c r="J37" i="1" s="1"/>
  <c r="J32" i="1"/>
  <c r="F25" i="1"/>
  <c r="I25" i="1"/>
  <c r="J56" i="1" l="1"/>
  <c r="F56" i="1"/>
  <c r="G25" i="1" s="1"/>
  <c r="I56" i="1"/>
  <c r="K25" i="1" s="1"/>
  <c r="G30" i="1"/>
  <c r="G38" i="1"/>
  <c r="G23" i="1"/>
  <c r="G48" i="1"/>
  <c r="G14" i="1"/>
  <c r="G43" i="1"/>
  <c r="G44" i="1"/>
  <c r="G31" i="1"/>
  <c r="G37" i="1"/>
  <c r="G35" i="1"/>
  <c r="G26" i="1"/>
  <c r="G27" i="1"/>
  <c r="G49" i="1"/>
  <c r="G28" i="1"/>
  <c r="G40" i="1"/>
  <c r="G24" i="1"/>
  <c r="G13" i="1"/>
  <c r="G51" i="1"/>
  <c r="G20" i="1"/>
  <c r="G32" i="1"/>
  <c r="G15" i="1"/>
  <c r="G9" i="1"/>
  <c r="G17" i="1"/>
  <c r="G34" i="1"/>
  <c r="G41" i="1"/>
  <c r="G50" i="1"/>
  <c r="G54" i="1"/>
  <c r="G53" i="1"/>
  <c r="G16" i="1"/>
  <c r="G45" i="1"/>
  <c r="G18" i="1"/>
  <c r="G55" i="1"/>
  <c r="G52" i="1"/>
  <c r="G12" i="1"/>
  <c r="G42" i="1"/>
  <c r="G21" i="1"/>
  <c r="G29" i="1"/>
  <c r="G7" i="1"/>
  <c r="G11" i="1" l="1"/>
  <c r="F58" i="1"/>
  <c r="F59" i="1" s="1"/>
  <c r="F61" i="1" s="1"/>
  <c r="G33" i="1"/>
  <c r="G8" i="1"/>
  <c r="G6" i="1"/>
  <c r="G46" i="1"/>
  <c r="G47" i="1"/>
  <c r="G10" i="1"/>
  <c r="G19" i="1"/>
  <c r="G39" i="1"/>
  <c r="J57" i="1"/>
  <c r="G22" i="1"/>
  <c r="G36" i="1"/>
  <c r="I57" i="1"/>
  <c r="K14" i="1"/>
  <c r="K22" i="1"/>
  <c r="K30" i="1"/>
  <c r="K38" i="1"/>
  <c r="K46" i="1"/>
  <c r="K54" i="1"/>
  <c r="K33" i="1"/>
  <c r="K26" i="1"/>
  <c r="K50" i="1"/>
  <c r="K7" i="1"/>
  <c r="K15" i="1"/>
  <c r="K23" i="1"/>
  <c r="K31" i="1"/>
  <c r="K39" i="1"/>
  <c r="K47" i="1"/>
  <c r="K55" i="1"/>
  <c r="K9" i="1"/>
  <c r="K17" i="1"/>
  <c r="K41" i="1"/>
  <c r="K49" i="1"/>
  <c r="K10" i="1"/>
  <c r="K34" i="1"/>
  <c r="K8" i="1"/>
  <c r="K16" i="1"/>
  <c r="K24" i="1"/>
  <c r="K32" i="1"/>
  <c r="K40" i="1"/>
  <c r="K48" i="1"/>
  <c r="K6" i="1"/>
  <c r="K18" i="1"/>
  <c r="K42" i="1"/>
  <c r="K11" i="1"/>
  <c r="K19" i="1"/>
  <c r="K27" i="1"/>
  <c r="K35" i="1"/>
  <c r="K43" i="1"/>
  <c r="K51" i="1"/>
  <c r="K12" i="1"/>
  <c r="K20" i="1"/>
  <c r="K28" i="1"/>
  <c r="K36" i="1"/>
  <c r="K44" i="1"/>
  <c r="K52" i="1"/>
  <c r="K13" i="1"/>
  <c r="K21" i="1"/>
  <c r="K29" i="1"/>
  <c r="K37" i="1"/>
  <c r="K45" i="1"/>
  <c r="K53" i="1"/>
  <c r="F62" i="1"/>
  <c r="F63" i="1" s="1"/>
  <c r="F65" i="1" l="1"/>
  <c r="F66" i="1" s="1"/>
  <c r="K56" i="1"/>
</calcChain>
</file>

<file path=xl/sharedStrings.xml><?xml version="1.0" encoding="utf-8"?>
<sst xmlns="http://schemas.openxmlformats.org/spreadsheetml/2006/main" count="886" uniqueCount="453">
  <si>
    <t>Cotizacion dolar BNA Venta</t>
  </si>
  <si>
    <t>Cotizacion dolar Blue Venta</t>
  </si>
  <si>
    <t>Completa</t>
  </si>
  <si>
    <t>Descripcion Tareas</t>
  </si>
  <si>
    <t>Un.</t>
  </si>
  <si>
    <t>Cantidad</t>
  </si>
  <si>
    <t>Precio Unitario</t>
  </si>
  <si>
    <t>Precio Parcial</t>
  </si>
  <si>
    <t>Procentaje</t>
  </si>
  <si>
    <t>Obra Gris</t>
  </si>
  <si>
    <t>m3</t>
  </si>
  <si>
    <t>Viga Fundacion con pilotines</t>
  </si>
  <si>
    <t>gl</t>
  </si>
  <si>
    <t xml:space="preserve">Contrapiso </t>
  </si>
  <si>
    <t>m2</t>
  </si>
  <si>
    <t>Carpeta de cemento</t>
  </si>
  <si>
    <t>MANTENIMIENTO DE OBRA</t>
  </si>
  <si>
    <t>Baño quimico mensual</t>
  </si>
  <si>
    <t>meses</t>
  </si>
  <si>
    <t>Limpieza de obra periodica. Volquetes</t>
  </si>
  <si>
    <t>Volq</t>
  </si>
  <si>
    <t>Paneles Kit Base OSB 11.1+EPS 15 kg/m3</t>
  </si>
  <si>
    <t>Flete desde Cordoba</t>
  </si>
  <si>
    <t>Materiales de sellado adicionales paredes y techo</t>
  </si>
  <si>
    <t>Dinteles 3x6</t>
  </si>
  <si>
    <t>ml</t>
  </si>
  <si>
    <t>Pergola quincho</t>
  </si>
  <si>
    <t>Durlock revestimiento interior</t>
  </si>
  <si>
    <t>Durlock Cielorraso Baño</t>
  </si>
  <si>
    <t>Revestimiento Exterior siding LP</t>
  </si>
  <si>
    <t>Impermeabilizacion pintura poliuretanica locales humedos</t>
  </si>
  <si>
    <t>incl</t>
  </si>
  <si>
    <t xml:space="preserve">Techos Chapa acanalado completo </t>
  </si>
  <si>
    <t xml:space="preserve">Canaletas </t>
  </si>
  <si>
    <t>Bajada de canaleta</t>
  </si>
  <si>
    <t xml:space="preserve">zingueria Carga </t>
  </si>
  <si>
    <t>Botagua arranque panel SIP</t>
  </si>
  <si>
    <t>Zingueria de dinteles</t>
  </si>
  <si>
    <t>INSTALACION SANITARIA</t>
  </si>
  <si>
    <t>Termotanque Universal 60l Blanco</t>
  </si>
  <si>
    <t>Juego Baño Monaco Roca Inodoro Mochila Bidet Climb Hidromet</t>
  </si>
  <si>
    <t>Inodoro con tapa</t>
  </si>
  <si>
    <t>u</t>
  </si>
  <si>
    <t>Vanitory completo</t>
  </si>
  <si>
    <t>Receptaculos de ducha 150</t>
  </si>
  <si>
    <t>Accesorios bano</t>
  </si>
  <si>
    <t>Espejo</t>
  </si>
  <si>
    <t>Extractores hidra 250</t>
  </si>
  <si>
    <t>INSTALACION ELECTRICA</t>
  </si>
  <si>
    <t>Materiales electricos</t>
  </si>
  <si>
    <t>bocas</t>
  </si>
  <si>
    <t>Puertas interiores marco madera</t>
  </si>
  <si>
    <t>Carpinteria de Alum con DVH</t>
  </si>
  <si>
    <t>TERMINACIONES</t>
  </si>
  <si>
    <t>Piso Porcelanato y revestimiento</t>
  </si>
  <si>
    <t>Piso de cemento alisado con endurecedor</t>
  </si>
  <si>
    <t>Zocalo madera PB</t>
  </si>
  <si>
    <t>AMURE CARPINTERIAS-HERRERIA</t>
  </si>
  <si>
    <t>Ajuste de puertas herrajes</t>
  </si>
  <si>
    <t>PINTURA</t>
  </si>
  <si>
    <t xml:space="preserve">Latex interior  Paredes </t>
  </si>
  <si>
    <t xml:space="preserve">Latex interior cielorraso </t>
  </si>
  <si>
    <t xml:space="preserve">Esmalte Sintetico Herreria </t>
  </si>
  <si>
    <t>VARIOS</t>
  </si>
  <si>
    <t>PV cañeria vacia</t>
  </si>
  <si>
    <t>Colocacion de artefactos</t>
  </si>
  <si>
    <t>Mueble Cocina</t>
  </si>
  <si>
    <t>Trabajos exteriores parquizacion</t>
  </si>
  <si>
    <t>u$/m2 Materiales</t>
  </si>
  <si>
    <t>u$/m2 MdeObra</t>
  </si>
  <si>
    <t>Demolicion Volquetes</t>
  </si>
  <si>
    <t>Se calaran en contrapiso existente en correspondencia con muros SIP.</t>
  </si>
  <si>
    <t>CONSULTAS y COMENTARIOS EN ROJO</t>
  </si>
  <si>
    <t>Nylon 200 micrones</t>
  </si>
  <si>
    <t>Reparacion existente</t>
  </si>
  <si>
    <t>Completa nueva nivelando toda superficie</t>
  </si>
  <si>
    <t>Vigas pino celpillado de 3x8 o 3x10 de 7.30 m</t>
  </si>
  <si>
    <t>Revestimiento Exterior siding LP o chapa</t>
  </si>
  <si>
    <t>Necesito su interes para revestimiento exterior</t>
  </si>
  <si>
    <t>Para las vigas mas largas en zona Estar, el calculo de deformacion exigiria una viga de 10" la de 8" iria pero puede tener una leve deformacion que no implica ningun riesgo</t>
  </si>
  <si>
    <t>eleccion del tipo de chapa (el mas comun ondulada), elegir color (la galvanizada es mas eficiente termicamente)</t>
  </si>
  <si>
    <t>optar por canaleta o desague libre, pensar en hojas y su mantenimiento contra el inconveniente de tener un chorro de agua los dias de lluvia</t>
  </si>
  <si>
    <t>zingueria Perimetral</t>
  </si>
  <si>
    <t>Materiales Sanitarios</t>
  </si>
  <si>
    <t>Propondremos una linea buena pero no costosa</t>
  </si>
  <si>
    <t>Definir que va con gas, termotanque, cocina y como va a ser la calefaccion. Aire acondiciondo?</t>
  </si>
  <si>
    <t>ponemos banera, receptaculo de plastico o simplemente ducha con porcelanato. (esta ultima es la mas fachera y economica)</t>
  </si>
  <si>
    <t>definir opcional para mayor extraccion de vapor en duchas</t>
  </si>
  <si>
    <t>conviene definir una marca para cuando se pidan los paneles tengamos las dimensiones del vano para cortar los paneles.</t>
  </si>
  <si>
    <t xml:space="preserve">Definir si vamos con porcelanato u otro piso Idem bano </t>
  </si>
  <si>
    <t>La propuesta mas economica para el exterior es realizar un contrapiso mas carpeta separado de la casa con una junta de EPS, preparado para recibir un piso de porcelanato u piso.</t>
  </si>
  <si>
    <t xml:space="preserve">Zocalo madera/EPS/plastico </t>
  </si>
  <si>
    <t>Herrajes de puertas</t>
  </si>
  <si>
    <t>Postigones</t>
  </si>
  <si>
    <t>Definir si vamos por esta opcion</t>
  </si>
  <si>
    <t>Vayan viendo algunas opciones en Mercado Libre</t>
  </si>
  <si>
    <t>Vamos a proponer un diseno con alacena e isla</t>
  </si>
  <si>
    <t>Definir si vamos con aluminio y dimensiones idem puertas. Definir si vamos con mosquiteros.</t>
  </si>
  <si>
    <t>Perim</t>
  </si>
  <si>
    <t>Sup</t>
  </si>
  <si>
    <t>H prom</t>
  </si>
  <si>
    <t>Rev. Durlock SIP</t>
  </si>
  <si>
    <t>imp cielo</t>
  </si>
  <si>
    <t xml:space="preserve">piso </t>
  </si>
  <si>
    <t>revest.</t>
  </si>
  <si>
    <t>zocalo</t>
  </si>
  <si>
    <t>bocas Ilum</t>
  </si>
  <si>
    <t>tomas</t>
  </si>
  <si>
    <t>AA</t>
  </si>
  <si>
    <t>corr deb</t>
  </si>
  <si>
    <t>Exterior</t>
  </si>
  <si>
    <t>Estar com. Cocina paso</t>
  </si>
  <si>
    <t>Baño</t>
  </si>
  <si>
    <t>Dormitorio</t>
  </si>
  <si>
    <t>Escritorio</t>
  </si>
  <si>
    <t>Imperm Ducha</t>
  </si>
  <si>
    <t>Siding Ext</t>
  </si>
  <si>
    <t>cocina con porcelanato</t>
  </si>
  <si>
    <t>dormitorio simil madera</t>
  </si>
  <si>
    <t>escritorio carpeta cem para poner luego piso</t>
  </si>
  <si>
    <t>alternativas de siding</t>
  </si>
  <si>
    <t>chapa</t>
  </si>
  <si>
    <t>panel click insuma sur</t>
  </si>
  <si>
    <t>frio calor</t>
  </si>
  <si>
    <t>horno anafe termo gas</t>
  </si>
  <si>
    <t xml:space="preserve">biblioteca </t>
  </si>
  <si>
    <t xml:space="preserve">mesa ratona </t>
  </si>
  <si>
    <t>mesa tele</t>
  </si>
  <si>
    <t>cable router a internet</t>
  </si>
  <si>
    <t xml:space="preserve">martes miercoles </t>
  </si>
  <si>
    <t>m altura</t>
  </si>
  <si>
    <t>m espesor</t>
  </si>
  <si>
    <t>esponjamiento</t>
  </si>
  <si>
    <t>Demolicion muros</t>
  </si>
  <si>
    <t>Largos</t>
  </si>
  <si>
    <t>ml totales</t>
  </si>
  <si>
    <t>Vigas de Fundaciones 20x40</t>
  </si>
  <si>
    <t>Pilotines diam. 0.20 x 1.20 m</t>
  </si>
  <si>
    <t>Sup. Parciales Contrapiso</t>
  </si>
  <si>
    <t>m2 interior</t>
  </si>
  <si>
    <t>PLANILLA DE PERIMETROS Y SUPERFICIES</t>
  </si>
  <si>
    <t>rollo</t>
  </si>
  <si>
    <t>Dinteles 3x6 definir con las ventanas definitivas</t>
  </si>
  <si>
    <t>Membrana Liquida Quimtex Quimica llana x 5kg</t>
  </si>
  <si>
    <t>lata</t>
  </si>
  <si>
    <t xml:space="preserve">Cinta Flexi Band Rothoblaas </t>
  </si>
  <si>
    <t>Sellador Poliuretanico PU40 Fisher x 900 gr.</t>
  </si>
  <si>
    <t>salchicas</t>
  </si>
  <si>
    <t>aerosoles</t>
  </si>
  <si>
    <t>Espuma Poliuretanica Fisher baja expansion x 750 cc</t>
  </si>
  <si>
    <t xml:space="preserve">Cola PUR Kekol x 500 cc </t>
  </si>
  <si>
    <t>Vigas tipo 1</t>
  </si>
  <si>
    <t>Vigas tipo 2</t>
  </si>
  <si>
    <t>Vigas tipo 3</t>
  </si>
  <si>
    <t>Adopto</t>
  </si>
  <si>
    <t>Dinteles 3x4</t>
  </si>
  <si>
    <t>metros</t>
  </si>
  <si>
    <t>Metros totales</t>
  </si>
  <si>
    <t>lateral patio chico</t>
  </si>
  <si>
    <t>Fondo patio chico</t>
  </si>
  <si>
    <t>Fondo</t>
  </si>
  <si>
    <t>Lateral derecho</t>
  </si>
  <si>
    <t>Frente</t>
  </si>
  <si>
    <t>Zinguerias</t>
  </si>
  <si>
    <t>Pintura int. Muro</t>
  </si>
  <si>
    <t>Pintura int. Cielorr.</t>
  </si>
  <si>
    <t>Artefactos Sanitarios Gas segun listado</t>
  </si>
  <si>
    <t>Cabio 3 x 8  x metro pino eliotis</t>
  </si>
  <si>
    <t>m</t>
  </si>
  <si>
    <t>Alfajia Grandis Saligna 2x1 x ml</t>
  </si>
  <si>
    <t>Clavadera Grandis Saligna 2x2 x ml</t>
  </si>
  <si>
    <t>Clavos  1 1/2" x 1Kg.Acindar</t>
  </si>
  <si>
    <t>kg</t>
  </si>
  <si>
    <t>Cetol Satinado Exterior x 4 lts</t>
  </si>
  <si>
    <t>lts</t>
  </si>
  <si>
    <t>Tornillo autoperf. Madera 14x2 1/2 con goma (6cm)</t>
  </si>
  <si>
    <t>Chapa sinusoidal Galvanizada C25 (3mm) 1x1,10 m</t>
  </si>
  <si>
    <t>Chapas a utilizar computo real</t>
  </si>
  <si>
    <t>Chapa ondulada 4.50 m</t>
  </si>
  <si>
    <t>Chapa ondulada 7.50 m</t>
  </si>
  <si>
    <t>Hormigon Armado a mano 3x1</t>
  </si>
  <si>
    <t>Cemento Avellaneda x 25 kg</t>
  </si>
  <si>
    <t>Arena en Bolsón</t>
  </si>
  <si>
    <t>Piedra Partida</t>
  </si>
  <si>
    <t>Hierro</t>
  </si>
  <si>
    <t>Hormigon a mano</t>
  </si>
  <si>
    <t>kg/m²</t>
  </si>
  <si>
    <t>m3/m²</t>
  </si>
  <si>
    <t>Cal Hidraulica x 20 kg</t>
  </si>
  <si>
    <t>Cascote picado</t>
  </si>
  <si>
    <t>Unidad</t>
  </si>
  <si>
    <t>Tornillo fix para madera 3,5x50 x 500</t>
  </si>
  <si>
    <t xml:space="preserve">Tapa de inodoro </t>
  </si>
  <si>
    <t>Bidet Monaco para monocomando</t>
  </si>
  <si>
    <t>Portapapel higienico</t>
  </si>
  <si>
    <t>Porta toalla vanitory</t>
  </si>
  <si>
    <t>Percha toallon</t>
  </si>
  <si>
    <t xml:space="preserve">Jgo de Bano Monaco </t>
  </si>
  <si>
    <t>Vanitory Shneider de pie Nivor 60 cm Moka con bacha</t>
  </si>
  <si>
    <t>Griferia cocina monocomando cromado FV Alva</t>
  </si>
  <si>
    <t>Juego Griferia Completa Hydros Viva Nova Cromo Baño Gris Claro</t>
  </si>
  <si>
    <t xml:space="preserve">Espejo 50x70 Marco negro moderno </t>
  </si>
  <si>
    <t>Pileta cocina Vont 54x44 con sopapa</t>
  </si>
  <si>
    <t>Nylon incluye contrapiso perimetral se necesitan 115 m2 Rollo 100 m2</t>
  </si>
  <si>
    <t>Precio m2</t>
  </si>
  <si>
    <t>Precio m3</t>
  </si>
  <si>
    <t>Contrapiso Exterior 12 cm</t>
  </si>
  <si>
    <t>Carpeta de cemento 2 cm</t>
  </si>
  <si>
    <t>m2 exterior</t>
  </si>
  <si>
    <t>Revestimiento placa de roca de yeso interior standard</t>
  </si>
  <si>
    <t>Revestimiento placa de roca de yeso interior RH</t>
  </si>
  <si>
    <t>Revestimiento Placa de roca de yeso interior sobre OSB</t>
  </si>
  <si>
    <t>Placa de yeso Knauf 120 x 240 impact - 12.5 mm</t>
  </si>
  <si>
    <t>Cinta papel microperforada Knauf x 75 m</t>
  </si>
  <si>
    <t>masilla multiuso x 32 kg</t>
  </si>
  <si>
    <t>Rev. Standar</t>
  </si>
  <si>
    <t>Rev. RH</t>
  </si>
  <si>
    <t>Revestimiento Placa de roca de yeso RH interior sobre OSB</t>
  </si>
  <si>
    <t>Placa de yeso Knauf 120 x 240 impact - 12.5 mm RH</t>
  </si>
  <si>
    <t>Placa Siding Madera Lp Smart Panel 11,1 Mm 2,44mts X 1,22mts</t>
  </si>
  <si>
    <t>Subtotal unitario</t>
  </si>
  <si>
    <t>Cant. M2</t>
  </si>
  <si>
    <t>Subtotal.</t>
  </si>
  <si>
    <t xml:space="preserve">Subtotal </t>
  </si>
  <si>
    <t>TOTAL CUBIERTA</t>
  </si>
  <si>
    <t>VENTANAS</t>
  </si>
  <si>
    <t>PISOS Y REVESTIMIENTO PORCELANATO</t>
  </si>
  <si>
    <t>Pegamento Cerámicas 12hs Piso Sobre Piso 25 Kg Weber </t>
  </si>
  <si>
    <t>Pastina Klaukol Alta Perf. BLANCO  5kg</t>
  </si>
  <si>
    <t xml:space="preserve">Porcelanato simil madera 19x120 </t>
  </si>
  <si>
    <t xml:space="preserve">Zocalo PVC de EPS pintado </t>
  </si>
  <si>
    <t>Zocalo PVC de EPS pintado blanco 5 cm por ml</t>
  </si>
  <si>
    <t>Pegamento pulpito por 400 gr</t>
  </si>
  <si>
    <t>cartuchos</t>
  </si>
  <si>
    <t>Precio ml</t>
  </si>
  <si>
    <t>ARTEFACTOS ILUMINACION</t>
  </si>
  <si>
    <t>Aplique Bidireccional Exterior Curva Tres Ranuras</t>
  </si>
  <si>
    <t>Cocina: Spot Embutir Blanco Lampara Movil Dicro Embu5 Dabor</t>
  </si>
  <si>
    <t>Estar,: Lampara Techo Colgante Moderna Vexana N40 3d- X1 - Blanco - 40cmx18cm - Kit Blanco</t>
  </si>
  <si>
    <t>Bano : Plafon Panel Led Sobreponer Negro Cuadrado 24w Black+decker</t>
  </si>
  <si>
    <t>Dormit,Comedor : Plafon Techo Led Nordico Borde Madera Pipa</t>
  </si>
  <si>
    <t>Latex interior x 20 lts.</t>
  </si>
  <si>
    <t>litros</t>
  </si>
  <si>
    <t>Fijador al agua x 10 lts</t>
  </si>
  <si>
    <t>Enduido Andina x 10 lts</t>
  </si>
  <si>
    <t>Materiales Varios Pintura 30%</t>
  </si>
  <si>
    <t>%</t>
  </si>
  <si>
    <t>Mesadas granito gris mara 2 cm incl. zocalo traforo</t>
  </si>
  <si>
    <t>2 20 A</t>
  </si>
  <si>
    <t>26 10 A</t>
  </si>
  <si>
    <t>Cajas rectangulares</t>
  </si>
  <si>
    <t>2x2.5 mm + N</t>
  </si>
  <si>
    <t>Cano corrugado de 19-20 mm (3/4")</t>
  </si>
  <si>
    <t>Lavarropa</t>
  </si>
  <si>
    <t>Tomas 20A Cocina</t>
  </si>
  <si>
    <t>TM 20 A</t>
  </si>
  <si>
    <t xml:space="preserve">TM 20 A </t>
  </si>
  <si>
    <t>Cajas oct. 22</t>
  </si>
  <si>
    <t>2x1.5 mm + N</t>
  </si>
  <si>
    <t>TM 10 A</t>
  </si>
  <si>
    <t>Illuminacion 2 Ciruitos</t>
  </si>
  <si>
    <t>C1</t>
  </si>
  <si>
    <t>C2</t>
  </si>
  <si>
    <t>C3</t>
  </si>
  <si>
    <t>TM 16 A</t>
  </si>
  <si>
    <t>Aire Acondicionado</t>
  </si>
  <si>
    <t>ml cada color</t>
  </si>
  <si>
    <t>C4 cocina 2 tomas</t>
  </si>
  <si>
    <t>C5 cocina 4 tomas</t>
  </si>
  <si>
    <t>Técnicamente se puede (un circuito de 20A con dos tomas), pero no es lo reglamentario. La norma (AEA 90364-7-771) pide que cada toma de uso especial sea un circuito exclusivo, justamente porque están pensadas para artefactos de alto consumo que pueden funcionar de forma continua</t>
  </si>
  <si>
    <t>C6 Dorm</t>
  </si>
  <si>
    <t>C7 Estudio</t>
  </si>
  <si>
    <t>C8 Living</t>
  </si>
  <si>
    <t>Circ. C9 De 19 m</t>
  </si>
  <si>
    <t>Circ. C10 De 10+11 ml</t>
  </si>
  <si>
    <t>2x4 mm + N</t>
  </si>
  <si>
    <t>Cajas rectangulares C1</t>
  </si>
  <si>
    <t>Cajas rectangulares C2</t>
  </si>
  <si>
    <t xml:space="preserve">Tomas 2 circ. </t>
  </si>
  <si>
    <t>bornera para 6 ramales capacidad 20 A</t>
  </si>
  <si>
    <t>Aires de 2500 F</t>
  </si>
  <si>
    <t>Aires de 3500 F</t>
  </si>
  <si>
    <t>tomas de 10 A de uso general</t>
  </si>
  <si>
    <t>tomas de 20 A de uso especial</t>
  </si>
  <si>
    <t>Luminarias</t>
  </si>
  <si>
    <t xml:space="preserve">Cajas rectangulares PVC </t>
  </si>
  <si>
    <t xml:space="preserve">Cajas octogonal PVC </t>
  </si>
  <si>
    <t xml:space="preserve">Cajas de 20x20 PVC </t>
  </si>
  <si>
    <t>Caja 10x10</t>
  </si>
  <si>
    <t xml:space="preserve">Tablero 24bocas de embutir PVC </t>
  </si>
  <si>
    <t xml:space="preserve">CABLES </t>
  </si>
  <si>
    <t>Cable 2.5 mm</t>
  </si>
  <si>
    <t>Cable 1.5 mm</t>
  </si>
  <si>
    <t>Caño corrugado 3/4 x 25mts</t>
  </si>
  <si>
    <t>Caño corrugado 7/8 x 25mts</t>
  </si>
  <si>
    <t>Conectores 3/4</t>
  </si>
  <si>
    <t>Conectores 7/8</t>
  </si>
  <si>
    <t xml:space="preserve">2 bolsas Precintos 20cm de largo </t>
  </si>
  <si>
    <t>Cinta Aisladora grande</t>
  </si>
  <si>
    <t>Termica 2x10 A</t>
  </si>
  <si>
    <t>Termica 2x16 A</t>
  </si>
  <si>
    <t>Ojos de buey din</t>
  </si>
  <si>
    <t>Modulos toma 220 v 10 A</t>
  </si>
  <si>
    <t>Modulo Internet</t>
  </si>
  <si>
    <t>Modulo llava de un punto</t>
  </si>
  <si>
    <t>Portalampara y Lamparas led 12 w</t>
  </si>
  <si>
    <t>Cable tierra 2,5</t>
  </si>
  <si>
    <t>Cable tierra 1,5</t>
  </si>
  <si>
    <t>Cable 4 mm</t>
  </si>
  <si>
    <t>Cable Tierra 4 mm</t>
  </si>
  <si>
    <t>Disyuntor de 2x63 A</t>
  </si>
  <si>
    <t>Termica 2x63 A</t>
  </si>
  <si>
    <t>Cable Sintenax de 3x16 mm</t>
  </si>
  <si>
    <t>Cable Tierra 16 mm</t>
  </si>
  <si>
    <t>Jabalina completa 1.5 m para cable 16 mm</t>
  </si>
  <si>
    <t>Bornera DIN puesta a tierra cable 16 mm</t>
  </si>
  <si>
    <t>Bastidor</t>
  </si>
  <si>
    <t>tapa</t>
  </si>
  <si>
    <t>modulo 10A</t>
  </si>
  <si>
    <t>modulo 20 A</t>
  </si>
  <si>
    <t>Modulos toma 220 v 20 A</t>
  </si>
  <si>
    <t>Caño rigido 1"</t>
  </si>
  <si>
    <t>Termica 2x20 A</t>
  </si>
  <si>
    <t>Interruptores</t>
  </si>
  <si>
    <t>Modulo tecla</t>
  </si>
  <si>
    <t>Tapas</t>
  </si>
  <si>
    <t>Bastidor + tapa Jeluz Verona</t>
  </si>
  <si>
    <t>Tapon Jeluz Verona</t>
  </si>
  <si>
    <t>Curva PVC rigida 1"</t>
  </si>
  <si>
    <t>Union PVC rigido 1"</t>
  </si>
  <si>
    <t xml:space="preserve">Grapas U de fijacion de PVC </t>
  </si>
  <si>
    <t>PEDIDO DE PRESUPUESTO MATERIALES VIVIENDA MT</t>
  </si>
  <si>
    <t>DESCRIPCION</t>
  </si>
  <si>
    <t>UNIDAD</t>
  </si>
  <si>
    <t>CANTIDAD</t>
  </si>
  <si>
    <t>Tubo Awaduct M-H</t>
  </si>
  <si>
    <t>40mm</t>
  </si>
  <si>
    <t>Metros</t>
  </si>
  <si>
    <t>50mm</t>
  </si>
  <si>
    <t>110mm</t>
  </si>
  <si>
    <t>Codo 45º</t>
  </si>
  <si>
    <t>40 MH</t>
  </si>
  <si>
    <t>Unidades</t>
  </si>
  <si>
    <t>50 MH</t>
  </si>
  <si>
    <t>63 MH</t>
  </si>
  <si>
    <t>110 MH</t>
  </si>
  <si>
    <t>Codo 87º30´</t>
  </si>
  <si>
    <t>Cupla</t>
  </si>
  <si>
    <t>50 HH</t>
  </si>
  <si>
    <t>Ramal Simple 87º30´</t>
  </si>
  <si>
    <t>110x110 MH</t>
  </si>
  <si>
    <t>Ramal Simple 45º</t>
  </si>
  <si>
    <t>Ramal Invertido</t>
  </si>
  <si>
    <t>45º 50x50</t>
  </si>
  <si>
    <t xml:space="preserve">Pileta de Patio </t>
  </si>
  <si>
    <t>7 entr. 40x63</t>
  </si>
  <si>
    <t>Tapa Macho</t>
  </si>
  <si>
    <t>40 HH</t>
  </si>
  <si>
    <t>110x110 MH c/v</t>
  </si>
  <si>
    <t>50x50 HH</t>
  </si>
  <si>
    <t>Boca de Acceso Awaduct</t>
  </si>
  <si>
    <t>110x63 Horiz.</t>
  </si>
  <si>
    <t>Buje Reduccion</t>
  </si>
  <si>
    <t>63x50 MH</t>
  </si>
  <si>
    <t>40 bronce pulido</t>
  </si>
  <si>
    <t>Tarugos Fisher 8</t>
  </si>
  <si>
    <t>Torinillos para tarugo 8</t>
  </si>
  <si>
    <t xml:space="preserve">Torinillos bronce 22x70 </t>
  </si>
  <si>
    <t>Rejilla Desague Ducha lineal 60 cm con filtro pelo tapa Acero Inox</t>
  </si>
  <si>
    <t>Válvula Esf. F-F Externa</t>
  </si>
  <si>
    <t>1 1/2</t>
  </si>
  <si>
    <t>1 1/4</t>
  </si>
  <si>
    <t>1</t>
  </si>
  <si>
    <t>Hidro3 Azul</t>
  </si>
  <si>
    <t>1/2</t>
  </si>
  <si>
    <t>3/4</t>
  </si>
  <si>
    <t>Hidro3 Verde</t>
  </si>
  <si>
    <t>Codo 90º F-F</t>
  </si>
  <si>
    <t>2</t>
  </si>
  <si>
    <t>Te F-F</t>
  </si>
  <si>
    <t>Cupla F-F</t>
  </si>
  <si>
    <t>Union Doble F-F</t>
  </si>
  <si>
    <t>Sobrepaso Fusión</t>
  </si>
  <si>
    <t>Manguito Reducion M-H</t>
  </si>
  <si>
    <t>4x2</t>
  </si>
  <si>
    <t>Cupla Reducción - Fusión</t>
  </si>
  <si>
    <t>2 x 1 1/2</t>
  </si>
  <si>
    <t>TE Reducción Extrema - Fusión</t>
  </si>
  <si>
    <t>3/4 x 3/4 x 1/2</t>
  </si>
  <si>
    <t>Codo 90º F-RMH</t>
  </si>
  <si>
    <t>Codo 90º Reducción - Fusión Rosca Metálica (H)</t>
  </si>
  <si>
    <t>3/4 x 1/2</t>
  </si>
  <si>
    <t>Llave de Paso F-F Cromada</t>
  </si>
  <si>
    <t>Tapa F-F</t>
  </si>
  <si>
    <t>FV 430 13 B BCE CANILLA SERVICIO 1/2</t>
  </si>
  <si>
    <t>Flexible Mallado de 30 cm de largo</t>
  </si>
  <si>
    <t>Codo de bronce (M-M para virola 1/2" a 3/8")</t>
  </si>
  <si>
    <t>Tornillo bronce 22x70 con conito plastico</t>
  </si>
  <si>
    <t>Portarejilla de Bronce y rejilla de 11x11</t>
  </si>
  <si>
    <t>Sifon para pileta simple</t>
  </si>
  <si>
    <t>Caño de gas Ø 1/2" – sistema aprobado</t>
  </si>
  <si>
    <t>Codo 90° Ø 1/2"</t>
  </si>
  <si>
    <t>Codo 45° Ø 1/2"</t>
  </si>
  <si>
    <t>Cupla Ø 1/2"</t>
  </si>
  <si>
    <t>Llave de paso para gas Ø 1/2"</t>
  </si>
  <si>
    <t>Unión doble Ø 1/2"</t>
  </si>
  <si>
    <t>Conector flexible homologado para gas</t>
  </si>
  <si>
    <t>Tapón Ø 1/2"</t>
  </si>
  <si>
    <t>Pasta selladora homologada para gas</t>
  </si>
  <si>
    <t>Cinta PTFE homologada para gas</t>
  </si>
  <si>
    <t>Abrazaderas / soportes de cañería</t>
  </si>
  <si>
    <t>Tornillos + tarugos</t>
  </si>
  <si>
    <t>juego</t>
  </si>
  <si>
    <t>GAS</t>
  </si>
  <si>
    <t>Agua</t>
  </si>
  <si>
    <t>DESAGUES</t>
  </si>
  <si>
    <t>PEDIDO DE MATERIALES SANITARIOS OBRA MT</t>
  </si>
  <si>
    <t>Ventana Aluminio Corrediza Modena 130x160 sin mosquitero DVH4/9/4</t>
  </si>
  <si>
    <t>Puerta Ventana Corrediza Modena 240x210  sin mosquitero DVH 4/9/4</t>
  </si>
  <si>
    <t>Ventana Aluminio Corrediza Modena 210x50 sin mosquitero Float 4 mm</t>
  </si>
  <si>
    <t>Ventana Aluminio dos Panos uno de abrir otro fijo vertical Modena 50x160 sin mosquitero Float 4</t>
  </si>
  <si>
    <t>Medido en cad computo</t>
  </si>
  <si>
    <t>Contrapiso interior</t>
  </si>
  <si>
    <t xml:space="preserve">Considero 12 cm </t>
  </si>
  <si>
    <t>incluye galeria trasera, lateral 0.50 m y recepcion ext en frente con escalon</t>
  </si>
  <si>
    <t>Vigas pino celpillado de 3x8 de 6 m</t>
  </si>
  <si>
    <t>tomo la superficie de paneles exteriores</t>
  </si>
  <si>
    <t>Contrapiso interior espesor 12 cm</t>
  </si>
  <si>
    <t>Contrapiso Exterior espesor 12 cm</t>
  </si>
  <si>
    <t xml:space="preserve">Puerta principal </t>
  </si>
  <si>
    <t xml:space="preserve">Perfiles de cocina 21x42 instalados </t>
  </si>
  <si>
    <t>DIVISORIO WPC</t>
  </si>
  <si>
    <t>Division WPC incl. colocacion</t>
  </si>
  <si>
    <t>Mano de Obra Sanitaria</t>
  </si>
  <si>
    <t>Mano de Obra Electrica</t>
  </si>
  <si>
    <t>Estudio de suelos</t>
  </si>
  <si>
    <t>KIT FULL</t>
  </si>
  <si>
    <t>u$/m2</t>
  </si>
  <si>
    <t>OBRA GRIS CON INST+ DURLOCK</t>
  </si>
  <si>
    <t>LLAVE EN MANO</t>
  </si>
  <si>
    <t>COSTO MANO DE OBRA</t>
  </si>
  <si>
    <t>VENTA MANO DE OBRA</t>
  </si>
  <si>
    <t>Costo Materiales</t>
  </si>
  <si>
    <t>Superficie cubierta</t>
  </si>
  <si>
    <t>Costo Mats. M2</t>
  </si>
  <si>
    <t>Venta Mano de Obra m2</t>
  </si>
  <si>
    <t>Venta m2</t>
  </si>
  <si>
    <t>Beneficio</t>
  </si>
  <si>
    <t>Comisiones</t>
  </si>
  <si>
    <t>u$</t>
  </si>
  <si>
    <t>Comision kit</t>
  </si>
  <si>
    <t>% Gris</t>
  </si>
  <si>
    <t>Terminaciones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</si>
</sst>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_(&quot;$&quot;\ * \(#,##0.00\);_(&quot;$&quot;\ * &quot;-&quot;??_);_(@_)"/>
    <numFmt numFmtId="43" formatCode="_(* #,##0.00_);_(* \(#,##0.00\);_(* &quot;-&quot;??_);_(@_)"/>
    <numFmt numFmtId="164" formatCode="0.0%"/>
    <numFmt numFmtId="165" formatCode="_([$$-409]* #,##0.00_);_([$$-409]* \(#,##0.00\);_([$$-409]* &quot;-&quot;??_);_(@_)"/>
    <numFmt numFmtId="166" formatCode="_(&quot;$&quot;\ * #,##0_);_(&quot;$&quot;\ * \(#,##0\);_(&quot;$&quot;\ * &quot;-&quot;??_);_(@_)"/>
  </numFmts>
  <fonts count="20" x14ac:knownFonts="1">
    <font>
      <sz val="12"/>
      <color theme="1"/>
      <name val="Calibri"/>
      <family val="2"/>
      <scheme val="minor"/>
    </font>
    <font>
      <sz val="12"/>
      <color theme="1"/>
      <name val="Calibri"/>
      <family val="2"/>
      <scheme val="minor"/>
    </font>
    <font>
      <b/>
      <sz val="12"/>
      <color theme="1"/>
      <name val="Calibri"/>
      <family val="2"/>
      <scheme val="minor"/>
    </font>
    <font>
      <sz val="12"/>
      <color theme="1"/>
      <name val="Times New Roman"/>
      <family val="1"/>
    </font>
    <font>
      <b/>
      <sz val="12"/>
      <color theme="1"/>
      <name val="Times New Roman"/>
      <family val="1"/>
    </font>
    <font>
      <sz val="12"/>
      <color rgb="FFFF0000"/>
      <name val="Times New Roman"/>
      <family val="1"/>
    </font>
    <font>
      <b/>
      <sz val="16"/>
      <color rgb="FFFF0000"/>
      <name val="Times New Roman"/>
      <family val="1"/>
    </font>
    <font>
      <sz val="14"/>
      <color theme="1"/>
      <name val="Times New Roman"/>
      <family val="1"/>
    </font>
    <font>
      <b/>
      <sz val="18"/>
      <color theme="1"/>
      <name val="Times New Roman"/>
      <family val="1"/>
    </font>
    <font>
      <b/>
      <sz val="16"/>
      <color theme="1"/>
      <name val="Times New Roman"/>
      <family val="1"/>
    </font>
    <font>
      <sz val="8"/>
      <name val="Calibri"/>
      <family val="2"/>
      <scheme val="minor"/>
    </font>
    <font>
      <sz val="18"/>
      <color theme="1"/>
      <name val="Times New Roman"/>
      <family val="1"/>
    </font>
    <font>
      <sz val="10"/>
      <name val="Arial"/>
      <family val="2"/>
    </font>
    <font>
      <sz val="12"/>
      <name val="Arial Narrow"/>
      <family val="2"/>
    </font>
    <font>
      <sz val="12"/>
      <color theme="1"/>
      <name val="Helvetica"/>
      <family val="2"/>
    </font>
    <font>
      <sz val="12"/>
      <color rgb="FF000000"/>
      <name val="Calibri"/>
      <family val="2"/>
      <scheme val="minor"/>
    </font>
    <font>
      <b/>
      <sz val="14"/>
      <color theme="1"/>
      <name val="Calibri"/>
      <family val="2"/>
      <scheme val="minor"/>
    </font>
    <font>
      <b/>
      <sz val="16"/>
      <color theme="1"/>
      <name val="Calibri"/>
      <family val="2"/>
      <scheme val="minor"/>
    </font>
    <font>
      <sz val="14"/>
      <color rgb="FFFF0000"/>
      <name val="Times New Roman"/>
      <family val="1"/>
    </font>
    <font>
      <b/>
      <sz val="18"/>
      <color theme="1"/>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
      <patternFill patternType="solid">
        <fgColor theme="9" tint="0.79998168889431442"/>
        <bgColor indexed="64"/>
      </patternFill>
    </fill>
  </fills>
  <borders count="3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theme="4" tint="0.39997558519241921"/>
      </top>
      <bottom style="thin">
        <color theme="4" tint="0.39997558519241921"/>
      </bottom>
      <diagonal/>
    </border>
    <border>
      <left style="medium">
        <color indexed="64"/>
      </left>
      <right style="thin">
        <color auto="1"/>
      </right>
      <top style="medium">
        <color indexed="64"/>
      </top>
      <bottom style="thin">
        <color theme="4" tint="0.39997558519241921"/>
      </bottom>
      <diagonal/>
    </border>
    <border>
      <left/>
      <right/>
      <top style="medium">
        <color indexed="64"/>
      </top>
      <bottom style="thin">
        <color theme="4" tint="0.39997558519241921"/>
      </bottom>
      <diagonal/>
    </border>
    <border>
      <left style="medium">
        <color indexed="64"/>
      </left>
      <right/>
      <top style="thin">
        <color theme="4" tint="0.39997558519241921"/>
      </top>
      <bottom style="thin">
        <color theme="4" tint="0.39997558519241921"/>
      </bottom>
      <diagonal/>
    </border>
    <border>
      <left style="medium">
        <color indexed="64"/>
      </left>
      <right style="thin">
        <color auto="1"/>
      </right>
      <top style="thin">
        <color theme="4" tint="0.39997558519241921"/>
      </top>
      <bottom style="thin">
        <color theme="4" tint="0.3999755851924192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theme="4" tint="0.39997558519241921"/>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auto="1"/>
      </right>
      <top style="thin">
        <color auto="1"/>
      </top>
      <bottom style="thin">
        <color theme="4" tint="0.39997558519241921"/>
      </bottom>
      <diagonal/>
    </border>
    <border>
      <left/>
      <right style="medium">
        <color indexed="64"/>
      </right>
      <top style="thin">
        <color theme="4" tint="0.39997558519241921"/>
      </top>
      <bottom style="thin">
        <color theme="4" tint="0.39997558519241921"/>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s>
  <cellStyleXfs count="8">
    <xf numFmtId="0" fontId="0" fillId="0" borderId="0"/>
    <xf numFmtId="44"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2" fillId="0" borderId="0"/>
    <xf numFmtId="9" fontId="1" fillId="0" borderId="0" applyFont="0" applyFill="0" applyBorder="0" applyAlignment="0" applyProtection="0"/>
  </cellStyleXfs>
  <cellXfs count="156">
    <xf numFmtId="0" fontId="0" fillId="0" borderId="0" xfId="0"/>
    <xf numFmtId="0" fontId="0" fillId="2" borderId="0" xfId="0" applyFill="1"/>
    <xf numFmtId="0" fontId="0" fillId="2" borderId="0" xfId="0" applyFill="1" applyAlignment="1">
      <alignment horizontal="right"/>
    </xf>
    <xf numFmtId="44" fontId="0" fillId="2" borderId="0" xfId="1" applyFont="1" applyFill="1"/>
    <xf numFmtId="0" fontId="2" fillId="0" borderId="0" xfId="0" applyFont="1"/>
    <xf numFmtId="0" fontId="2" fillId="0" borderId="3" xfId="0" applyFont="1" applyBorder="1"/>
    <xf numFmtId="0" fontId="0" fillId="0" borderId="3" xfId="0" applyBorder="1"/>
    <xf numFmtId="164" fontId="0" fillId="0" borderId="3" xfId="3" applyNumberFormat="1" applyFont="1" applyBorder="1"/>
    <xf numFmtId="44" fontId="0" fillId="0" borderId="3" xfId="2" applyFont="1" applyBorder="1"/>
    <xf numFmtId="43" fontId="0" fillId="0" borderId="3" xfId="4" applyFont="1" applyBorder="1"/>
    <xf numFmtId="44" fontId="0" fillId="0" borderId="3" xfId="0" applyNumberFormat="1" applyBorder="1"/>
    <xf numFmtId="44" fontId="0" fillId="0" borderId="0" xfId="1" applyFont="1"/>
    <xf numFmtId="44" fontId="0" fillId="0" borderId="3" xfId="2" applyFont="1" applyFill="1" applyBorder="1"/>
    <xf numFmtId="43" fontId="0" fillId="0" borderId="3" xfId="0" applyNumberFormat="1" applyBorder="1"/>
    <xf numFmtId="43" fontId="0" fillId="0" borderId="3" xfId="4" applyFont="1" applyFill="1" applyBorder="1"/>
    <xf numFmtId="0" fontId="3" fillId="0" borderId="0" xfId="0" applyFont="1"/>
    <xf numFmtId="0" fontId="4" fillId="0" borderId="3" xfId="0" applyFont="1" applyBorder="1"/>
    <xf numFmtId="0" fontId="3" fillId="0" borderId="3" xfId="0" applyFont="1" applyBorder="1"/>
    <xf numFmtId="0" fontId="5" fillId="0" borderId="0" xfId="0" applyFont="1"/>
    <xf numFmtId="0" fontId="4" fillId="0" borderId="0" xfId="0" applyFont="1"/>
    <xf numFmtId="0" fontId="5" fillId="0" borderId="0" xfId="0" applyFont="1" applyAlignment="1">
      <alignment wrapText="1"/>
    </xf>
    <xf numFmtId="0" fontId="6" fillId="0" borderId="0" xfId="0" applyFont="1"/>
    <xf numFmtId="0" fontId="7" fillId="0" borderId="0" xfId="0" applyFont="1"/>
    <xf numFmtId="0" fontId="8" fillId="0" borderId="4" xfId="0" applyFont="1" applyBorder="1"/>
    <xf numFmtId="0" fontId="7" fillId="0" borderId="5" xfId="0" applyFont="1" applyBorder="1"/>
    <xf numFmtId="0" fontId="7" fillId="0" borderId="6" xfId="0" applyFont="1" applyBorder="1"/>
    <xf numFmtId="0" fontId="7" fillId="0" borderId="7" xfId="0" applyFont="1" applyBorder="1"/>
    <xf numFmtId="0" fontId="7" fillId="0" borderId="8" xfId="0" applyFont="1" applyBorder="1"/>
    <xf numFmtId="0" fontId="7" fillId="0" borderId="9" xfId="0" applyFont="1" applyBorder="1"/>
    <xf numFmtId="0" fontId="7" fillId="0" borderId="10" xfId="0" applyFont="1" applyBorder="1"/>
    <xf numFmtId="0" fontId="7" fillId="0" borderId="11" xfId="0" applyFont="1" applyBorder="1"/>
    <xf numFmtId="0" fontId="7" fillId="0" borderId="3" xfId="0" applyFont="1" applyBorder="1"/>
    <xf numFmtId="43" fontId="7" fillId="0" borderId="12" xfId="5" applyFont="1" applyBorder="1"/>
    <xf numFmtId="0" fontId="9" fillId="0" borderId="0" xfId="0" applyFont="1"/>
    <xf numFmtId="0" fontId="4" fillId="0" borderId="3" xfId="0" applyFont="1" applyBorder="1" applyAlignment="1">
      <alignment horizontal="center" wrapText="1"/>
    </xf>
    <xf numFmtId="0" fontId="4" fillId="0" borderId="3" xfId="0" applyFont="1" applyBorder="1" applyAlignment="1">
      <alignment wrapText="1"/>
    </xf>
    <xf numFmtId="43" fontId="3" fillId="0" borderId="3" xfId="5" applyFont="1" applyBorder="1"/>
    <xf numFmtId="43" fontId="3" fillId="0" borderId="3" xfId="4" applyFont="1" applyBorder="1"/>
    <xf numFmtId="43" fontId="3" fillId="3" borderId="3" xfId="4" applyFont="1" applyFill="1" applyBorder="1"/>
    <xf numFmtId="44" fontId="7" fillId="0" borderId="0" xfId="1" applyFont="1" applyBorder="1"/>
    <xf numFmtId="44" fontId="7" fillId="0" borderId="10" xfId="1" applyFont="1" applyBorder="1"/>
    <xf numFmtId="0" fontId="8" fillId="0" borderId="7" xfId="0" applyFont="1" applyBorder="1"/>
    <xf numFmtId="0" fontId="11" fillId="0" borderId="9" xfId="0" applyFont="1" applyBorder="1"/>
    <xf numFmtId="0" fontId="7" fillId="4" borderId="10" xfId="0" applyFont="1" applyFill="1" applyBorder="1"/>
    <xf numFmtId="44" fontId="7" fillId="4" borderId="10" xfId="1" applyFont="1" applyFill="1" applyBorder="1"/>
    <xf numFmtId="0" fontId="7" fillId="4" borderId="9" xfId="0" applyFont="1" applyFill="1" applyBorder="1"/>
    <xf numFmtId="43" fontId="7" fillId="4" borderId="9" xfId="5" applyFont="1" applyFill="1" applyBorder="1"/>
    <xf numFmtId="43" fontId="7" fillId="4" borderId="13" xfId="5" applyFont="1" applyFill="1" applyBorder="1"/>
    <xf numFmtId="0" fontId="7" fillId="4" borderId="14" xfId="0" applyFont="1" applyFill="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3" fillId="0" borderId="8" xfId="0" applyFont="1" applyBorder="1"/>
    <xf numFmtId="0" fontId="3" fillId="0" borderId="10" xfId="0" applyFont="1" applyBorder="1"/>
    <xf numFmtId="0" fontId="3" fillId="0" borderId="11" xfId="0" applyFont="1" applyBorder="1"/>
    <xf numFmtId="43" fontId="0" fillId="0" borderId="15" xfId="4" applyFont="1" applyFill="1" applyBorder="1"/>
    <xf numFmtId="0" fontId="0" fillId="0" borderId="15" xfId="0" applyBorder="1"/>
    <xf numFmtId="165" fontId="0" fillId="0" borderId="15" xfId="0" applyNumberFormat="1" applyBorder="1"/>
    <xf numFmtId="0" fontId="13" fillId="0" borderId="16" xfId="6" applyFont="1" applyBorder="1"/>
    <xf numFmtId="43" fontId="0" fillId="0" borderId="17" xfId="4" applyFont="1" applyFill="1" applyBorder="1"/>
    <xf numFmtId="0" fontId="0" fillId="0" borderId="17" xfId="0" applyBorder="1"/>
    <xf numFmtId="165" fontId="0" fillId="0" borderId="17" xfId="0" applyNumberFormat="1" applyBorder="1"/>
    <xf numFmtId="0" fontId="0" fillId="0" borderId="18" xfId="0" applyBorder="1"/>
    <xf numFmtId="0" fontId="13" fillId="0" borderId="19" xfId="6" applyFont="1" applyBorder="1"/>
    <xf numFmtId="0" fontId="13" fillId="0" borderId="18" xfId="6" applyFont="1" applyBorder="1"/>
    <xf numFmtId="165" fontId="0" fillId="0" borderId="3" xfId="0" applyNumberFormat="1" applyBorder="1"/>
    <xf numFmtId="0" fontId="0" fillId="0" borderId="20" xfId="0" applyBorder="1"/>
    <xf numFmtId="0" fontId="0" fillId="0" borderId="21" xfId="0" applyBorder="1"/>
    <xf numFmtId="43" fontId="0" fillId="0" borderId="21" xfId="4" applyFont="1" applyFill="1" applyBorder="1"/>
    <xf numFmtId="165" fontId="0" fillId="0" borderId="21" xfId="0" applyNumberFormat="1" applyBorder="1"/>
    <xf numFmtId="0" fontId="0" fillId="0" borderId="12" xfId="0" applyBorder="1"/>
    <xf numFmtId="43" fontId="7" fillId="4" borderId="10" xfId="0" applyNumberFormat="1" applyFont="1" applyFill="1" applyBorder="1"/>
    <xf numFmtId="0" fontId="7" fillId="4" borderId="11" xfId="0" applyFont="1" applyFill="1" applyBorder="1"/>
    <xf numFmtId="0" fontId="13" fillId="0" borderId="16" xfId="6" applyFont="1" applyBorder="1" applyAlignment="1">
      <alignment horizontal="left"/>
    </xf>
    <xf numFmtId="0" fontId="13" fillId="0" borderId="19" xfId="6" applyFont="1" applyBorder="1" applyAlignment="1">
      <alignment horizontal="left"/>
    </xf>
    <xf numFmtId="44" fontId="0" fillId="0" borderId="23" xfId="1" applyFont="1" applyBorder="1"/>
    <xf numFmtId="44" fontId="0" fillId="0" borderId="24" xfId="1" applyFont="1" applyBorder="1"/>
    <xf numFmtId="44" fontId="0" fillId="0" borderId="8" xfId="1" applyFont="1" applyBorder="1"/>
    <xf numFmtId="44" fontId="0" fillId="0" borderId="11" xfId="0" applyNumberFormat="1" applyBorder="1"/>
    <xf numFmtId="0" fontId="7" fillId="4" borderId="0" xfId="0" applyFont="1" applyFill="1"/>
    <xf numFmtId="0" fontId="0" fillId="0" borderId="22" xfId="0" applyBorder="1"/>
    <xf numFmtId="0" fontId="0" fillId="0" borderId="19" xfId="0" applyBorder="1"/>
    <xf numFmtId="165" fontId="7" fillId="4" borderId="10" xfId="0" applyNumberFormat="1" applyFont="1" applyFill="1" applyBorder="1"/>
    <xf numFmtId="0" fontId="7" fillId="0" borderId="21" xfId="0" applyFont="1" applyBorder="1"/>
    <xf numFmtId="0" fontId="7" fillId="0" borderId="23" xfId="0" applyFont="1" applyBorder="1"/>
    <xf numFmtId="0" fontId="7" fillId="0" borderId="24" xfId="0" applyFont="1" applyBorder="1"/>
    <xf numFmtId="0" fontId="13" fillId="0" borderId="12" xfId="6" applyFont="1" applyBorder="1"/>
    <xf numFmtId="0" fontId="7" fillId="0" borderId="12" xfId="0" applyFont="1" applyBorder="1"/>
    <xf numFmtId="165" fontId="7" fillId="4" borderId="3" xfId="0" applyNumberFormat="1" applyFont="1" applyFill="1" applyBorder="1"/>
    <xf numFmtId="0" fontId="13" fillId="0" borderId="18" xfId="6" applyFont="1" applyBorder="1" applyAlignment="1">
      <alignment horizontal="left"/>
    </xf>
    <xf numFmtId="43" fontId="0" fillId="0" borderId="0" xfId="0" applyNumberFormat="1"/>
    <xf numFmtId="165" fontId="7" fillId="4" borderId="0" xfId="0" applyNumberFormat="1" applyFont="1" applyFill="1"/>
    <xf numFmtId="0" fontId="13" fillId="0" borderId="7" xfId="6" applyFont="1" applyBorder="1"/>
    <xf numFmtId="43" fontId="0" fillId="0" borderId="0" xfId="4" applyFont="1" applyFill="1" applyBorder="1"/>
    <xf numFmtId="165" fontId="0" fillId="0" borderId="0" xfId="0" applyNumberFormat="1"/>
    <xf numFmtId="0" fontId="0" fillId="4" borderId="3" xfId="0" applyFill="1" applyBorder="1"/>
    <xf numFmtId="165" fontId="0" fillId="4" borderId="3" xfId="0" applyNumberFormat="1" applyFill="1" applyBorder="1"/>
    <xf numFmtId="0" fontId="0" fillId="4" borderId="14" xfId="0" applyFill="1" applyBorder="1"/>
    <xf numFmtId="165" fontId="0" fillId="4" borderId="14" xfId="0" applyNumberFormat="1" applyFill="1" applyBorder="1"/>
    <xf numFmtId="0" fontId="0" fillId="0" borderId="7" xfId="0" applyBorder="1" applyAlignment="1">
      <alignment wrapText="1"/>
    </xf>
    <xf numFmtId="44" fontId="0" fillId="0" borderId="0" xfId="1" applyFont="1" applyBorder="1"/>
    <xf numFmtId="44" fontId="0" fillId="0" borderId="10" xfId="1" applyFont="1" applyBorder="1"/>
    <xf numFmtId="44" fontId="0" fillId="4" borderId="11" xfId="1" applyFont="1" applyFill="1" applyBorder="1"/>
    <xf numFmtId="0" fontId="13" fillId="0" borderId="25" xfId="6" applyFont="1" applyBorder="1" applyAlignment="1">
      <alignment horizontal="left"/>
    </xf>
    <xf numFmtId="165" fontId="0" fillId="0" borderId="26" xfId="0" applyNumberFormat="1" applyBorder="1"/>
    <xf numFmtId="44" fontId="0" fillId="0" borderId="0" xfId="1" applyFont="1" applyFill="1" applyBorder="1"/>
    <xf numFmtId="44" fontId="0" fillId="4" borderId="10" xfId="1" applyFont="1" applyFill="1" applyBorder="1"/>
    <xf numFmtId="165" fontId="0" fillId="4" borderId="11" xfId="0" applyNumberFormat="1" applyFill="1" applyBorder="1"/>
    <xf numFmtId="43" fontId="0" fillId="0" borderId="15" xfId="5" applyFont="1" applyFill="1" applyBorder="1"/>
    <xf numFmtId="0" fontId="14" fillId="0" borderId="7" xfId="0" applyFont="1" applyBorder="1" applyAlignment="1">
      <alignment wrapText="1"/>
    </xf>
    <xf numFmtId="0" fontId="14" fillId="0" borderId="7" xfId="0" applyFont="1" applyBorder="1"/>
    <xf numFmtId="9" fontId="0" fillId="0" borderId="15" xfId="3" applyFont="1" applyFill="1" applyBorder="1"/>
    <xf numFmtId="0" fontId="0" fillId="0" borderId="0" xfId="0" applyAlignment="1">
      <alignment horizontal="right"/>
    </xf>
    <xf numFmtId="0" fontId="2" fillId="0" borderId="0" xfId="0" applyFont="1" applyAlignment="1">
      <alignment horizontal="right"/>
    </xf>
    <xf numFmtId="0" fontId="15" fillId="0" borderId="0" xfId="0" applyFont="1"/>
    <xf numFmtId="0" fontId="0" fillId="0" borderId="0" xfId="0" applyAlignment="1">
      <alignment wrapText="1"/>
    </xf>
    <xf numFmtId="0" fontId="16" fillId="0" borderId="0" xfId="0" applyFont="1"/>
    <xf numFmtId="0" fontId="17" fillId="0" borderId="0" xfId="0" applyFont="1"/>
    <xf numFmtId="0" fontId="8" fillId="0" borderId="20" xfId="0" applyFont="1" applyBorder="1"/>
    <xf numFmtId="0" fontId="0" fillId="0" borderId="23" xfId="0" applyBorder="1"/>
    <xf numFmtId="0" fontId="0" fillId="0" borderId="12" xfId="0" applyBorder="1" applyAlignment="1">
      <alignment wrapText="1"/>
    </xf>
    <xf numFmtId="0" fontId="0" fillId="0" borderId="24" xfId="0" applyBorder="1"/>
    <xf numFmtId="0" fontId="0" fillId="0" borderId="13" xfId="0" applyBorder="1" applyAlignment="1">
      <alignment horizontal="left" wrapText="1"/>
    </xf>
    <xf numFmtId="0" fontId="0" fillId="0" borderId="27" xfId="0" applyBorder="1"/>
    <xf numFmtId="0" fontId="18" fillId="0" borderId="7" xfId="0" applyFont="1" applyBorder="1"/>
    <xf numFmtId="43" fontId="7" fillId="4" borderId="10" xfId="5" applyFont="1" applyFill="1" applyBorder="1"/>
    <xf numFmtId="0" fontId="0" fillId="0" borderId="7" xfId="0" applyBorder="1" applyAlignment="1">
      <alignment horizontal="left" wrapText="1"/>
    </xf>
    <xf numFmtId="44" fontId="0" fillId="3" borderId="0" xfId="1" applyFont="1" applyFill="1" applyBorder="1"/>
    <xf numFmtId="43" fontId="0" fillId="0" borderId="3" xfId="5" applyFont="1" applyBorder="1"/>
    <xf numFmtId="0" fontId="0" fillId="0" borderId="20" xfId="0" applyBorder="1" applyAlignment="1">
      <alignment horizontal="right"/>
    </xf>
    <xf numFmtId="0" fontId="0" fillId="0" borderId="12" xfId="0" applyBorder="1" applyAlignment="1">
      <alignment horizontal="right"/>
    </xf>
    <xf numFmtId="166" fontId="0" fillId="0" borderId="3" xfId="2" applyNumberFormat="1" applyFont="1" applyBorder="1"/>
    <xf numFmtId="0" fontId="0" fillId="0" borderId="13" xfId="0" applyBorder="1" applyAlignment="1">
      <alignment horizontal="right"/>
    </xf>
    <xf numFmtId="166" fontId="0" fillId="0" borderId="14" xfId="0" applyNumberFormat="1" applyBorder="1"/>
    <xf numFmtId="0" fontId="0" fillId="0" borderId="14" xfId="0" applyBorder="1"/>
    <xf numFmtId="0" fontId="0" fillId="0" borderId="3" xfId="0" applyBorder="1" applyAlignment="1">
      <alignment horizontal="right"/>
    </xf>
    <xf numFmtId="0" fontId="0" fillId="0" borderId="29" xfId="0" applyBorder="1"/>
    <xf numFmtId="44" fontId="0" fillId="0" borderId="29" xfId="0" applyNumberFormat="1" applyBorder="1"/>
    <xf numFmtId="166" fontId="0" fillId="0" borderId="0" xfId="0" applyNumberFormat="1"/>
    <xf numFmtId="9" fontId="0" fillId="0" borderId="0" xfId="7" applyFont="1"/>
    <xf numFmtId="44" fontId="0" fillId="0" borderId="0" xfId="0" applyNumberFormat="1"/>
    <xf numFmtId="0" fontId="0" fillId="0" borderId="28" xfId="0" applyBorder="1" applyAlignment="1">
      <alignment horizontal="center" wrapText="1"/>
    </xf>
    <xf numFmtId="164" fontId="0" fillId="0" borderId="0" xfId="7" applyNumberFormat="1" applyFont="1"/>
    <xf numFmtId="14" fontId="19" fillId="0" borderId="0" xfId="0" applyNumberFormat="1" applyFont="1"/>
    <xf numFmtId="9" fontId="0" fillId="0" borderId="0" xfId="0" applyNumberFormat="1"/>
    <xf numFmtId="166" fontId="0" fillId="0" borderId="21" xfId="0" applyNumberFormat="1" applyBorder="1"/>
    <xf numFmtId="0" fontId="0" fillId="0" borderId="30" xfId="0" applyBorder="1" applyAlignment="1">
      <alignment horizontal="right"/>
    </xf>
    <xf numFmtId="166" fontId="0" fillId="0" borderId="31" xfId="2" applyNumberFormat="1" applyFont="1" applyBorder="1"/>
    <xf numFmtId="0" fontId="0" fillId="0" borderId="31" xfId="0" applyBorder="1"/>
    <xf numFmtId="0" fontId="2" fillId="0" borderId="1" xfId="0" applyFont="1" applyBorder="1" applyAlignment="1">
      <alignment horizontal="center" wrapText="1"/>
    </xf>
    <xf numFmtId="0" fontId="2" fillId="0" borderId="2" xfId="0" applyFont="1" applyBorder="1" applyAlignment="1">
      <alignment horizontal="center" wrapText="1"/>
    </xf>
  </cellXfs>
  <cellStyles count="8">
    <cellStyle name="Comma" xfId="5" builtinId="3"/>
    <cellStyle name="Comma 2" xfId="4" xr:uid="{5AD2D700-3B31-0448-B2FD-5D0D5E8EF7ED}"/>
    <cellStyle name="Currency" xfId="1" builtinId="4"/>
    <cellStyle name="Currency 2" xfId="2" xr:uid="{BA688078-8524-184C-88CD-56086791BC1C}"/>
    <cellStyle name="Normal" xfId="0" builtinId="0"/>
    <cellStyle name="Normal 3 2" xfId="6" xr:uid="{71C5FC63-388C-5B41-A607-0B9735A860B8}"/>
    <cellStyle name="Percent" xfId="7" builtinId="5"/>
    <cellStyle name="Percent 2" xfId="3" xr:uid="{7CB525AA-A443-A840-B626-A7296B798F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49</xdr:row>
      <xdr:rowOff>0</xdr:rowOff>
    </xdr:from>
    <xdr:to>
      <xdr:col>21</xdr:col>
      <xdr:colOff>508000</xdr:colOff>
      <xdr:row>81</xdr:row>
      <xdr:rowOff>13980</xdr:rowOff>
    </xdr:to>
    <xdr:pic>
      <xdr:nvPicPr>
        <xdr:cNvPr id="3" name="Picture 2">
          <a:extLst>
            <a:ext uri="{FF2B5EF4-FFF2-40B4-BE49-F238E27FC236}">
              <a16:creationId xmlns:a16="http://schemas.microsoft.com/office/drawing/2014/main" id="{14441A35-F558-0D38-4753-7B900AD32B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157200" y="11087100"/>
          <a:ext cx="7772400" cy="65163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amurphyc1/Documents/COSTOS%202022/NUEVO%20FORMATO/CAC/COSTOS%20JUN24.xlsx" TargetMode="External"/><Relationship Id="rId1" Type="http://schemas.openxmlformats.org/officeDocument/2006/relationships/externalLinkPath" Target="/Users/amurphyc1/Documents/COSTOS%202022/NUEVO%20FORMATO/CAC/COSTOS%20JUN2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murphyc1/Documents/COSTOS%202022/Analisis%20Costos%2023%20Julio%202026.xlsx" TargetMode="External"/><Relationship Id="rId1" Type="http://schemas.openxmlformats.org/officeDocument/2006/relationships/externalLinkPath" Target="/Users/amurphyc1/Documents/COSTOS%202022/Analisis%20Costos%2023%20Julio%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C"/>
      <sheetName val="COSTOS"/>
      <sheetName val="Sheet3"/>
      <sheetName val="LISTA PRECIOS"/>
      <sheetName val="Sheet1"/>
    </sheetNames>
    <sheetDataSet>
      <sheetData sheetId="0"/>
      <sheetData sheetId="1"/>
      <sheetData sheetId="2"/>
      <sheetData sheetId="3">
        <row r="3">
          <cell r="B3" t="str">
            <v>Material</v>
          </cell>
          <cell r="C3" t="str">
            <v>unidad</v>
          </cell>
          <cell r="D3" t="str">
            <v>Precio Unit</v>
          </cell>
          <cell r="E3" t="str">
            <v>Fecha</v>
          </cell>
          <cell r="F3" t="str">
            <v>Proveedor</v>
          </cell>
        </row>
        <row r="4">
          <cell r="B4" t="str">
            <v>Arena</v>
          </cell>
          <cell r="C4" t="str">
            <v>m3</v>
          </cell>
          <cell r="D4">
            <v>4177</v>
          </cell>
          <cell r="E4" t="str">
            <v>Ago 2021</v>
          </cell>
          <cell r="F4" t="str">
            <v>Andersen</v>
          </cell>
        </row>
        <row r="5">
          <cell r="B5" t="str">
            <v>Piedra 6/20</v>
          </cell>
          <cell r="C5" t="str">
            <v>m3</v>
          </cell>
          <cell r="D5">
            <v>6979</v>
          </cell>
          <cell r="E5" t="str">
            <v>Ago 2021</v>
          </cell>
          <cell r="F5" t="str">
            <v>Andersen</v>
          </cell>
        </row>
        <row r="6">
          <cell r="B6" t="str">
            <v>Cascote picado</v>
          </cell>
          <cell r="C6" t="str">
            <v>m3</v>
          </cell>
          <cell r="D6">
            <v>1738</v>
          </cell>
          <cell r="E6" t="str">
            <v>Ago 2021</v>
          </cell>
          <cell r="F6" t="str">
            <v>Andersen</v>
          </cell>
        </row>
        <row r="7">
          <cell r="B7" t="str">
            <v>Piedra Blanca</v>
          </cell>
          <cell r="C7" t="str">
            <v>m3</v>
          </cell>
          <cell r="D7">
            <v>6461</v>
          </cell>
          <cell r="E7" t="str">
            <v>Ago 2021</v>
          </cell>
          <cell r="F7" t="str">
            <v>Andersen</v>
          </cell>
        </row>
        <row r="8">
          <cell r="B8" t="str">
            <v>Tosca</v>
          </cell>
          <cell r="C8" t="str">
            <v>m3</v>
          </cell>
          <cell r="D8">
            <v>2381</v>
          </cell>
          <cell r="E8" t="str">
            <v>Ago 2021</v>
          </cell>
          <cell r="F8" t="str">
            <v>Andersen</v>
          </cell>
        </row>
        <row r="9">
          <cell r="B9" t="str">
            <v>Piedra Binder 3/6</v>
          </cell>
          <cell r="C9" t="str">
            <v>m3</v>
          </cell>
          <cell r="D9">
            <v>6993</v>
          </cell>
          <cell r="E9" t="str">
            <v>Ago 2021</v>
          </cell>
          <cell r="F9" t="str">
            <v>Andersen</v>
          </cell>
        </row>
        <row r="10">
          <cell r="B10" t="str">
            <v>Arena en Bolsón</v>
          </cell>
          <cell r="C10" t="str">
            <v>m3</v>
          </cell>
          <cell r="D10">
            <v>4980</v>
          </cell>
          <cell r="E10" t="str">
            <v>Ago 2021</v>
          </cell>
          <cell r="F10" t="str">
            <v>Andersen</v>
          </cell>
        </row>
        <row r="11">
          <cell r="B11" t="str">
            <v>Piedra 6/20 en Bolsón</v>
          </cell>
          <cell r="C11" t="str">
            <v>m3</v>
          </cell>
          <cell r="D11">
            <v>7782</v>
          </cell>
          <cell r="E11" t="str">
            <v>Ago 2021</v>
          </cell>
          <cell r="F11" t="str">
            <v>Andersen</v>
          </cell>
        </row>
        <row r="12">
          <cell r="B12" t="str">
            <v>Cascote Picado en Bolson</v>
          </cell>
          <cell r="C12" t="str">
            <v>m3</v>
          </cell>
          <cell r="D12">
            <v>2541</v>
          </cell>
          <cell r="E12" t="str">
            <v>Ago 2021</v>
          </cell>
          <cell r="F12" t="str">
            <v>Andersen</v>
          </cell>
        </row>
        <row r="13">
          <cell r="B13" t="str">
            <v>Arena en Bolsa</v>
          </cell>
          <cell r="C13" t="str">
            <v>m3</v>
          </cell>
          <cell r="D13">
            <v>276</v>
          </cell>
          <cell r="E13" t="str">
            <v>Ago 2021</v>
          </cell>
          <cell r="F13" t="str">
            <v>Andersen</v>
          </cell>
        </row>
        <row r="14">
          <cell r="B14" t="str">
            <v>Piedra en Bolsa</v>
          </cell>
          <cell r="C14" t="str">
            <v>m3</v>
          </cell>
          <cell r="D14">
            <v>418</v>
          </cell>
          <cell r="E14" t="str">
            <v>Ago 2021</v>
          </cell>
          <cell r="F14" t="str">
            <v>Andersen</v>
          </cell>
        </row>
        <row r="15">
          <cell r="B15" t="str">
            <v>Cascote Picado en Bolsa</v>
          </cell>
          <cell r="C15" t="str">
            <v>m3</v>
          </cell>
          <cell r="D15">
            <v>231</v>
          </cell>
          <cell r="E15" t="str">
            <v>Ago 2021</v>
          </cell>
          <cell r="F15" t="str">
            <v>Andersen</v>
          </cell>
        </row>
        <row r="16">
          <cell r="B16" t="str">
            <v>Cemento Avellaneda</v>
          </cell>
          <cell r="C16" t="str">
            <v>bolsa 50kg</v>
          </cell>
          <cell r="D16">
            <v>1017</v>
          </cell>
          <cell r="E16" t="str">
            <v>Ago 2021</v>
          </cell>
          <cell r="F16" t="str">
            <v>Andersen</v>
          </cell>
        </row>
        <row r="17">
          <cell r="B17" t="str">
            <v>Cemento Holcim</v>
          </cell>
          <cell r="C17" t="str">
            <v>bolsa 50kg</v>
          </cell>
          <cell r="D17">
            <v>880</v>
          </cell>
          <cell r="E17" t="str">
            <v>Ago 2021</v>
          </cell>
          <cell r="F17" t="str">
            <v>Andersen</v>
          </cell>
        </row>
        <row r="18">
          <cell r="B18" t="str">
            <v>Cemento Holcim Max</v>
          </cell>
          <cell r="C18" t="str">
            <v>bolsa 50kg</v>
          </cell>
          <cell r="D18">
            <v>955</v>
          </cell>
          <cell r="E18" t="str">
            <v>Ago 2021</v>
          </cell>
          <cell r="F18" t="str">
            <v>Andersen</v>
          </cell>
        </row>
        <row r="19">
          <cell r="B19" t="str">
            <v>Hidralit</v>
          </cell>
          <cell r="C19" t="str">
            <v>bolsa 40kg</v>
          </cell>
          <cell r="D19">
            <v>735</v>
          </cell>
          <cell r="E19" t="str">
            <v>Ago 2021</v>
          </cell>
          <cell r="F19" t="str">
            <v>Andersen</v>
          </cell>
        </row>
        <row r="20">
          <cell r="B20" t="str">
            <v>Revofacil</v>
          </cell>
          <cell r="C20" t="str">
            <v>bolsa 40kg</v>
          </cell>
          <cell r="E20" t="str">
            <v>Ago 2021</v>
          </cell>
          <cell r="F20" t="str">
            <v>Andersen</v>
          </cell>
        </row>
        <row r="21">
          <cell r="B21" t="str">
            <v>Cal Hidrat-Avellaneda (la mejor calidad)</v>
          </cell>
          <cell r="C21" t="str">
            <v>bolsa 25kg</v>
          </cell>
          <cell r="D21">
            <v>447</v>
          </cell>
          <cell r="E21" t="str">
            <v>Ago 2021</v>
          </cell>
          <cell r="F21" t="str">
            <v>Andersen</v>
          </cell>
        </row>
        <row r="22">
          <cell r="B22" t="str">
            <v>Cal Vicat</v>
          </cell>
          <cell r="C22" t="str">
            <v>bolsa 25kg</v>
          </cell>
          <cell r="D22">
            <v>350</v>
          </cell>
          <cell r="E22" t="str">
            <v>Ago 2021</v>
          </cell>
          <cell r="F22" t="str">
            <v>Andersen</v>
          </cell>
        </row>
        <row r="23">
          <cell r="B23" t="str">
            <v>Cal Blancaley</v>
          </cell>
          <cell r="C23" t="str">
            <v>bolsa 20kg</v>
          </cell>
          <cell r="D23">
            <v>283</v>
          </cell>
          <cell r="E23" t="str">
            <v>Ago 2021</v>
          </cell>
          <cell r="F23" t="str">
            <v>Andersen</v>
          </cell>
        </row>
        <row r="24">
          <cell r="B24" t="str">
            <v>Cal Milagro</v>
          </cell>
          <cell r="C24" t="str">
            <v>bolsa 25kg</v>
          </cell>
          <cell r="D24">
            <v>1299</v>
          </cell>
          <cell r="E24" t="str">
            <v>Ago 2021</v>
          </cell>
          <cell r="F24" t="str">
            <v>Andersen</v>
          </cell>
        </row>
        <row r="25">
          <cell r="B25" t="str">
            <v>Weber.rev fino (interior)</v>
          </cell>
          <cell r="C25" t="str">
            <v>bolsa 25kg</v>
          </cell>
          <cell r="D25">
            <v>791</v>
          </cell>
          <cell r="E25" t="str">
            <v>Ago 2021</v>
          </cell>
          <cell r="F25" t="str">
            <v>Andersen</v>
          </cell>
        </row>
        <row r="26">
          <cell r="B26" t="str">
            <v>Weber.rev forte (exterior)</v>
          </cell>
          <cell r="C26" t="str">
            <v>bolsa 25kg</v>
          </cell>
          <cell r="D26">
            <v>901</v>
          </cell>
          <cell r="E26" t="str">
            <v>Ago 2021</v>
          </cell>
          <cell r="F26" t="str">
            <v>Andersen</v>
          </cell>
        </row>
        <row r="27">
          <cell r="B27" t="str">
            <v>Pastina Weber Prestige</v>
          </cell>
          <cell r="C27" t="str">
            <v>bolsa 25kg</v>
          </cell>
          <cell r="D27">
            <v>710</v>
          </cell>
          <cell r="E27" t="str">
            <v>Ago 2021</v>
          </cell>
          <cell r="F27" t="str">
            <v>Andersen</v>
          </cell>
        </row>
        <row r="28">
          <cell r="B28" t="str">
            <v>Pastina Weber Prestige</v>
          </cell>
          <cell r="C28" t="str">
            <v>bolsa 2kg</v>
          </cell>
          <cell r="D28">
            <v>1359</v>
          </cell>
          <cell r="E28" t="str">
            <v>Ago 2021</v>
          </cell>
          <cell r="F28" t="str">
            <v>Andersen</v>
          </cell>
        </row>
        <row r="29">
          <cell r="B29" t="str">
            <v>Yeso Tuyango</v>
          </cell>
          <cell r="C29" t="str">
            <v>bolsa 30kg</v>
          </cell>
          <cell r="D29">
            <v>1096</v>
          </cell>
          <cell r="E29" t="str">
            <v>Ago 2021</v>
          </cell>
          <cell r="F29" t="str">
            <v>Andersen</v>
          </cell>
        </row>
        <row r="30">
          <cell r="B30" t="str">
            <v>Yeso Tuyango Proyectable</v>
          </cell>
          <cell r="C30" t="str">
            <v>bolsa 30kg</v>
          </cell>
          <cell r="D30">
            <v>1337</v>
          </cell>
          <cell r="E30" t="str">
            <v>Ago 2021</v>
          </cell>
          <cell r="F30" t="str">
            <v>Andersen</v>
          </cell>
        </row>
        <row r="31">
          <cell r="B31" t="str">
            <v>Iggam Mix I (Revoque interior 2 en 1)</v>
          </cell>
          <cell r="C31" t="str">
            <v>bolsa 30kg</v>
          </cell>
          <cell r="D31">
            <v>755</v>
          </cell>
          <cell r="E31" t="str">
            <v>Ago 2021</v>
          </cell>
          <cell r="F31" t="str">
            <v>Andersen</v>
          </cell>
        </row>
        <row r="32">
          <cell r="B32" t="str">
            <v>Iggam Mix E (Revoque exterior 3 en 1)</v>
          </cell>
          <cell r="C32" t="str">
            <v>bolsa 30kg</v>
          </cell>
          <cell r="D32">
            <v>807</v>
          </cell>
          <cell r="E32" t="str">
            <v>Ago 2021</v>
          </cell>
          <cell r="F32" t="str">
            <v>Andersen</v>
          </cell>
        </row>
        <row r="33">
          <cell r="B33" t="str">
            <v>Hidrofugo Ceresita x 20 kg por kg</v>
          </cell>
          <cell r="C33" t="str">
            <v>bolsa 20kg</v>
          </cell>
          <cell r="D33">
            <v>2509</v>
          </cell>
          <cell r="E33" t="str">
            <v>Ago 2021</v>
          </cell>
          <cell r="F33" t="str">
            <v>Mlibre</v>
          </cell>
        </row>
        <row r="34">
          <cell r="B34" t="str">
            <v>Pastina Klaukol Alta Perf. BLANCO  5kg</v>
          </cell>
          <cell r="C34" t="str">
            <v>bolsa 5kg</v>
          </cell>
          <cell r="D34">
            <v>2945</v>
          </cell>
          <cell r="E34" t="str">
            <v>Ago 2021</v>
          </cell>
          <cell r="F34" t="str">
            <v>Mlibre</v>
          </cell>
        </row>
        <row r="35">
          <cell r="B35" t="str">
            <v>Weber. Col Impermeable con ceresita</v>
          </cell>
          <cell r="C35" t="str">
            <v>bolsa 30kg</v>
          </cell>
          <cell r="D35">
            <v>1171</v>
          </cell>
          <cell r="E35" t="str">
            <v>Ago 2021</v>
          </cell>
          <cell r="F35" t="str">
            <v>Andersen</v>
          </cell>
        </row>
        <row r="36">
          <cell r="B36" t="str">
            <v>Weber Basic Impermeable (Linea Economica)</v>
          </cell>
          <cell r="C36" t="str">
            <v>bolsa 30kg</v>
          </cell>
          <cell r="D36">
            <v>876</v>
          </cell>
          <cell r="E36" t="str">
            <v>Ago 2021</v>
          </cell>
          <cell r="F36" t="str">
            <v>Andersen</v>
          </cell>
        </row>
        <row r="37">
          <cell r="B37" t="str">
            <v>weber.col pro</v>
          </cell>
          <cell r="C37" t="str">
            <v>bolsa 30kg</v>
          </cell>
          <cell r="D37">
            <v>1913</v>
          </cell>
          <cell r="E37" t="str">
            <v>Ago 2021</v>
          </cell>
          <cell r="F37" t="str">
            <v>Andersen</v>
          </cell>
        </row>
        <row r="38">
          <cell r="B38" t="str">
            <v>Weber col Superflex (losa radiante y fachadas)</v>
          </cell>
          <cell r="C38" t="str">
            <v>bolsa 30kg</v>
          </cell>
          <cell r="D38">
            <v>4361</v>
          </cell>
          <cell r="E38" t="str">
            <v>Ago 2021</v>
          </cell>
          <cell r="F38" t="str">
            <v>Andersen</v>
          </cell>
        </row>
        <row r="39">
          <cell r="B39" t="str">
            <v>Peg. Perfecto flexible</v>
          </cell>
          <cell r="C39" t="str">
            <v>bolsa 30kg</v>
          </cell>
          <cell r="D39">
            <v>2857</v>
          </cell>
          <cell r="E39" t="str">
            <v>Ago 2021</v>
          </cell>
          <cell r="F39" t="str">
            <v>Andersen</v>
          </cell>
        </row>
        <row r="40">
          <cell r="B40" t="str">
            <v>Peg. Perfecto porcelanato</v>
          </cell>
          <cell r="C40" t="str">
            <v>bolsa 30kg</v>
          </cell>
          <cell r="D40">
            <v>1620</v>
          </cell>
          <cell r="E40" t="str">
            <v>Ago 2021</v>
          </cell>
          <cell r="F40" t="str">
            <v>Andersen</v>
          </cell>
        </row>
        <row r="41">
          <cell r="B41" t="str">
            <v>Perfecto Impermeable Avellaneda</v>
          </cell>
          <cell r="C41" t="str">
            <v>bolsa 30kg</v>
          </cell>
          <cell r="D41">
            <v>911</v>
          </cell>
          <cell r="E41" t="str">
            <v>Ago 2021</v>
          </cell>
          <cell r="F41" t="str">
            <v>Andersen</v>
          </cell>
        </row>
        <row r="42">
          <cell r="B42" t="str">
            <v>Hueco 8x18x33</v>
          </cell>
          <cell r="C42" t="str">
            <v>u</v>
          </cell>
          <cell r="D42">
            <v>58.87</v>
          </cell>
          <cell r="E42" t="str">
            <v>Ago 2021</v>
          </cell>
          <cell r="F42" t="str">
            <v>Andersen</v>
          </cell>
        </row>
        <row r="43">
          <cell r="B43" t="str">
            <v>Hueco 12x18x33 - 9 agujeros</v>
          </cell>
          <cell r="C43" t="str">
            <v>u</v>
          </cell>
          <cell r="D43">
            <v>86.07</v>
          </cell>
          <cell r="E43" t="str">
            <v>Ago 2021</v>
          </cell>
          <cell r="F43" t="str">
            <v>Andersen</v>
          </cell>
        </row>
        <row r="44">
          <cell r="B44" t="str">
            <v>Hueco 12x18x33 - 6 agujeros</v>
          </cell>
          <cell r="C44" t="str">
            <v>u</v>
          </cell>
          <cell r="D44">
            <v>83.66</v>
          </cell>
          <cell r="E44" t="str">
            <v>Ago 2021</v>
          </cell>
          <cell r="F44" t="str">
            <v>Andersen</v>
          </cell>
        </row>
        <row r="45">
          <cell r="B45" t="str">
            <v>Hueco 18x18x33</v>
          </cell>
          <cell r="C45" t="str">
            <v>u</v>
          </cell>
          <cell r="D45">
            <v>130.87</v>
          </cell>
          <cell r="E45" t="str">
            <v>Ago 2021</v>
          </cell>
          <cell r="F45" t="str">
            <v>Andersen</v>
          </cell>
        </row>
        <row r="46">
          <cell r="B46" t="str">
            <v>Portante 12x19x33</v>
          </cell>
          <cell r="C46" t="str">
            <v>u</v>
          </cell>
          <cell r="D46">
            <v>128.55000000000001</v>
          </cell>
          <cell r="E46" t="str">
            <v>Ago 2021</v>
          </cell>
          <cell r="F46" t="str">
            <v>Andersen</v>
          </cell>
        </row>
        <row r="47">
          <cell r="B47" t="str">
            <v>Portante 18x19x33</v>
          </cell>
          <cell r="C47" t="str">
            <v>u</v>
          </cell>
          <cell r="D47">
            <v>151.28</v>
          </cell>
          <cell r="E47" t="str">
            <v>Ago 2021</v>
          </cell>
          <cell r="F47" t="str">
            <v>Andersen</v>
          </cell>
        </row>
        <row r="48">
          <cell r="B48" t="str">
            <v>Ladrillo común</v>
          </cell>
          <cell r="C48" t="str">
            <v>u</v>
          </cell>
          <cell r="D48">
            <v>31.63</v>
          </cell>
          <cell r="E48" t="str">
            <v>Ago 2021</v>
          </cell>
          <cell r="F48" t="str">
            <v>Andersen</v>
          </cell>
        </row>
        <row r="49">
          <cell r="B49" t="str">
            <v>Ladrillo 1/2 vista Mar del Plata</v>
          </cell>
          <cell r="C49" t="str">
            <v>u</v>
          </cell>
          <cell r="D49">
            <v>57.93</v>
          </cell>
          <cell r="E49" t="str">
            <v>Ago 2021</v>
          </cell>
          <cell r="F49" t="str">
            <v>Andersen</v>
          </cell>
        </row>
        <row r="50">
          <cell r="B50" t="str">
            <v>Ladrillo vista Mar del Plata</v>
          </cell>
          <cell r="C50" t="str">
            <v>u</v>
          </cell>
          <cell r="D50">
            <v>61.53</v>
          </cell>
          <cell r="E50" t="str">
            <v>Ago 2021</v>
          </cell>
          <cell r="F50" t="str">
            <v>Andersen</v>
          </cell>
        </row>
        <row r="51">
          <cell r="B51" t="str">
            <v>Liston Mar del Plata</v>
          </cell>
          <cell r="C51" t="str">
            <v>u</v>
          </cell>
          <cell r="D51">
            <v>52.2</v>
          </cell>
          <cell r="E51" t="str">
            <v>Ago 2021</v>
          </cell>
          <cell r="F51" t="str">
            <v>Andersen</v>
          </cell>
        </row>
        <row r="52">
          <cell r="B52" t="str">
            <v>Tejuela Mar del plata</v>
          </cell>
          <cell r="C52" t="str">
            <v>u</v>
          </cell>
          <cell r="D52">
            <v>52.3</v>
          </cell>
          <cell r="E52" t="str">
            <v>Ago 2021</v>
          </cell>
          <cell r="F52" t="str">
            <v>Andersen</v>
          </cell>
        </row>
        <row r="53">
          <cell r="B53" t="str">
            <v>Hierro ADN    6  m.m.</v>
          </cell>
          <cell r="D53">
            <v>894</v>
          </cell>
          <cell r="E53" t="str">
            <v>Ago 2021</v>
          </cell>
          <cell r="F53" t="str">
            <v>Andersen</v>
          </cell>
        </row>
        <row r="54">
          <cell r="B54" t="str">
            <v>Hierro ADN    8  m.m.</v>
          </cell>
          <cell r="D54">
            <v>1452</v>
          </cell>
          <cell r="E54" t="str">
            <v>Ago 2021</v>
          </cell>
          <cell r="F54" t="str">
            <v>Andersen</v>
          </cell>
        </row>
        <row r="55">
          <cell r="B55" t="str">
            <v>Hierro ADN    10 m.m.</v>
          </cell>
          <cell r="D55">
            <v>2600</v>
          </cell>
          <cell r="E55" t="str">
            <v>Ago 2021</v>
          </cell>
          <cell r="F55" t="str">
            <v>Andersen</v>
          </cell>
        </row>
        <row r="56">
          <cell r="B56" t="str">
            <v>Hierro ADN    12 m.m.</v>
          </cell>
          <cell r="D56">
            <v>3260</v>
          </cell>
          <cell r="E56" t="str">
            <v>Ago 2021</v>
          </cell>
          <cell r="F56" t="str">
            <v>Andersen</v>
          </cell>
        </row>
        <row r="57">
          <cell r="B57" t="str">
            <v>Hierro ADN    16 m.m.</v>
          </cell>
          <cell r="D57">
            <v>5390</v>
          </cell>
          <cell r="E57" t="str">
            <v>Ago 2021</v>
          </cell>
          <cell r="F57" t="str">
            <v>Andersen</v>
          </cell>
        </row>
        <row r="58">
          <cell r="B58" t="str">
            <v>Hierro ADN    20 m.m.</v>
          </cell>
          <cell r="D58">
            <v>7220</v>
          </cell>
          <cell r="E58" t="str">
            <v>Ago 2021</v>
          </cell>
          <cell r="F58" t="str">
            <v>Andersen</v>
          </cell>
        </row>
        <row r="59">
          <cell r="B59" t="str">
            <v>Hierro ADN    25 m.m.</v>
          </cell>
          <cell r="D59">
            <v>14545</v>
          </cell>
          <cell r="E59" t="str">
            <v>Ago 2021</v>
          </cell>
          <cell r="F59" t="str">
            <v>Andersen</v>
          </cell>
        </row>
        <row r="60">
          <cell r="B60" t="str">
            <v xml:space="preserve">Hierro en kg promedio </v>
          </cell>
          <cell r="D60">
            <v>323.96054373016131</v>
          </cell>
          <cell r="E60" t="str">
            <v>Ago 2022</v>
          </cell>
          <cell r="F60" t="str">
            <v>Andersen</v>
          </cell>
        </row>
        <row r="61">
          <cell r="B61" t="str">
            <v>Malla  4 (15x25)  (5x2)</v>
          </cell>
          <cell r="D61">
            <v>3568</v>
          </cell>
          <cell r="E61" t="str">
            <v>Ago 2021</v>
          </cell>
          <cell r="F61" t="str">
            <v>Andersen</v>
          </cell>
        </row>
        <row r="62">
          <cell r="B62" t="str">
            <v>Malla  4 (15x15)  (5x2)</v>
          </cell>
          <cell r="D62">
            <v>4508</v>
          </cell>
          <cell r="E62" t="str">
            <v>Ago 2021</v>
          </cell>
          <cell r="F62" t="str">
            <v>Andersen</v>
          </cell>
        </row>
        <row r="63">
          <cell r="B63" t="str">
            <v>Malla 6 (15x15)  (5x2)</v>
          </cell>
          <cell r="D63">
            <v>9063</v>
          </cell>
          <cell r="E63" t="str">
            <v>Ago 2021</v>
          </cell>
          <cell r="F63" t="str">
            <v>Andersen</v>
          </cell>
        </row>
        <row r="64">
          <cell r="B64" t="str">
            <v>Malla 8 (15x15)  (5x2)</v>
          </cell>
          <cell r="D64">
            <v>20548</v>
          </cell>
          <cell r="E64" t="str">
            <v>Ago 2021</v>
          </cell>
          <cell r="F64" t="str">
            <v>Andersen</v>
          </cell>
        </row>
        <row r="65">
          <cell r="B65" t="str">
            <v>Alambre de Fardo Nº16</v>
          </cell>
          <cell r="D65">
            <v>584</v>
          </cell>
          <cell r="E65" t="str">
            <v>Ago 2021</v>
          </cell>
          <cell r="F65" t="str">
            <v>Andersen</v>
          </cell>
        </row>
        <row r="66">
          <cell r="B66" t="str">
            <v>Hierro Liso Rollo 4,2 (Acerbrag)</v>
          </cell>
          <cell r="D66">
            <v>610</v>
          </cell>
          <cell r="E66" t="str">
            <v>Ago 2021</v>
          </cell>
          <cell r="F66" t="str">
            <v>Andersen</v>
          </cell>
        </row>
        <row r="67">
          <cell r="B67" t="str">
            <v>Hierro Liso Rollo  6 (Acerbrag)</v>
          </cell>
          <cell r="D67">
            <v>409</v>
          </cell>
          <cell r="E67" t="str">
            <v>Ago 2021</v>
          </cell>
          <cell r="F67" t="str">
            <v>Andersen</v>
          </cell>
        </row>
        <row r="68">
          <cell r="B68" t="str">
            <v>Metal desplegado reforzado</v>
          </cell>
          <cell r="D68">
            <v>632</v>
          </cell>
          <cell r="E68" t="str">
            <v>Ago 2021</v>
          </cell>
          <cell r="F68" t="str">
            <v>Andersen</v>
          </cell>
        </row>
        <row r="69">
          <cell r="B69" t="str">
            <v>Guardacantos x 2 mts.</v>
          </cell>
          <cell r="D69">
            <v>383</v>
          </cell>
          <cell r="E69" t="str">
            <v>Ago 2021</v>
          </cell>
          <cell r="F69" t="str">
            <v>Andersen</v>
          </cell>
        </row>
        <row r="70">
          <cell r="B70" t="str">
            <v>Clavos  3" x 1Kg.Acindar</v>
          </cell>
          <cell r="D70">
            <v>464</v>
          </cell>
          <cell r="E70" t="str">
            <v>Ago 2021</v>
          </cell>
          <cell r="F70" t="str">
            <v>Andersen</v>
          </cell>
        </row>
        <row r="71">
          <cell r="B71" t="str">
            <v>Clavos 2 1/2" x 1Kg.Acindar</v>
          </cell>
          <cell r="D71">
            <v>542</v>
          </cell>
          <cell r="E71" t="str">
            <v>Ago 2021</v>
          </cell>
          <cell r="F71" t="str">
            <v>Andersen</v>
          </cell>
        </row>
        <row r="72">
          <cell r="B72" t="str">
            <v>Clavos  2" x 1Kg.Acindar</v>
          </cell>
          <cell r="D72">
            <v>564</v>
          </cell>
          <cell r="E72" t="str">
            <v>Ago 2021</v>
          </cell>
          <cell r="F72" t="str">
            <v>Andersen</v>
          </cell>
        </row>
        <row r="73">
          <cell r="B73" t="str">
            <v>Clavos  1 1/2" x 1Kg.Acindar</v>
          </cell>
          <cell r="D73">
            <v>498</v>
          </cell>
          <cell r="E73" t="str">
            <v>Ago 2021</v>
          </cell>
          <cell r="F73" t="str">
            <v>Andersen</v>
          </cell>
        </row>
        <row r="74">
          <cell r="B74" t="str">
            <v>Vigueta x 1 mt - SHAP</v>
          </cell>
          <cell r="E74" t="str">
            <v>Ago 2021</v>
          </cell>
          <cell r="F74" t="str">
            <v>Andersen</v>
          </cell>
        </row>
        <row r="75">
          <cell r="B75" t="str">
            <v>Vigueta x 1,2 mts - SHAP</v>
          </cell>
          <cell r="E75" t="str">
            <v>Ago 2021</v>
          </cell>
          <cell r="F75" t="str">
            <v>Andersen</v>
          </cell>
        </row>
        <row r="76">
          <cell r="B76" t="str">
            <v>Vigueta x 1,4 mts - SHAP</v>
          </cell>
          <cell r="E76" t="str">
            <v>Ago 2021</v>
          </cell>
          <cell r="F76" t="str">
            <v>Andersen</v>
          </cell>
        </row>
        <row r="77">
          <cell r="B77" t="str">
            <v>Vigueta x 1,6 mts - SHAP</v>
          </cell>
          <cell r="E77" t="str">
            <v>Ago 2021</v>
          </cell>
          <cell r="F77" t="str">
            <v>Andersen</v>
          </cell>
        </row>
        <row r="78">
          <cell r="B78" t="str">
            <v>Vigueta x 1,8 mts - SHAP</v>
          </cell>
          <cell r="E78" t="str">
            <v>Ago 2021</v>
          </cell>
          <cell r="F78" t="str">
            <v>Andersen</v>
          </cell>
        </row>
        <row r="79">
          <cell r="B79" t="str">
            <v>Vigueta x 2 mts - SHAP</v>
          </cell>
          <cell r="E79" t="str">
            <v>Ago 2021</v>
          </cell>
          <cell r="F79" t="str">
            <v>Andersen</v>
          </cell>
        </row>
        <row r="80">
          <cell r="B80" t="str">
            <v>Vigueta x 2,2 mts - SHAP</v>
          </cell>
          <cell r="E80" t="str">
            <v>Ago 2021</v>
          </cell>
          <cell r="F80" t="str">
            <v>Andersen</v>
          </cell>
        </row>
        <row r="81">
          <cell r="B81" t="str">
            <v>Vigueta x 2,4 mts - SHAP</v>
          </cell>
          <cell r="E81" t="str">
            <v>Ago 2021</v>
          </cell>
          <cell r="F81" t="str">
            <v>Andersen</v>
          </cell>
        </row>
        <row r="82">
          <cell r="B82" t="str">
            <v>Vigueta x 2,6 mts - SHAP</v>
          </cell>
          <cell r="E82" t="str">
            <v>Ago 2021</v>
          </cell>
          <cell r="F82" t="str">
            <v>Andersen</v>
          </cell>
        </row>
        <row r="83">
          <cell r="B83" t="str">
            <v>Vigueta x 2,8 mts - SHAP</v>
          </cell>
          <cell r="E83" t="str">
            <v>Ago 2021</v>
          </cell>
          <cell r="F83" t="str">
            <v>Andersen</v>
          </cell>
        </row>
        <row r="84">
          <cell r="B84" t="str">
            <v>Vigueta x 3 mts - SHAP</v>
          </cell>
          <cell r="E84" t="str">
            <v>Ago 2021</v>
          </cell>
          <cell r="F84" t="str">
            <v>Andersen</v>
          </cell>
        </row>
        <row r="85">
          <cell r="B85" t="str">
            <v>Vigueta x 3,2 mts - SHAP</v>
          </cell>
          <cell r="E85" t="str">
            <v>Ago 2021</v>
          </cell>
          <cell r="F85" t="str">
            <v>Andersen</v>
          </cell>
        </row>
        <row r="86">
          <cell r="B86" t="str">
            <v>Vigueta x 3,4 mts - SHAP</v>
          </cell>
          <cell r="E86" t="str">
            <v>Ago 2021</v>
          </cell>
          <cell r="F86" t="str">
            <v>Andersen</v>
          </cell>
        </row>
        <row r="87">
          <cell r="B87" t="str">
            <v>Vigueta x 3,6 mts - SHAP</v>
          </cell>
          <cell r="E87" t="str">
            <v>Ago 2021</v>
          </cell>
          <cell r="F87" t="str">
            <v>Andersen</v>
          </cell>
        </row>
        <row r="88">
          <cell r="B88" t="str">
            <v>Vigueta x 3,8 mts - SHAP</v>
          </cell>
          <cell r="E88" t="str">
            <v>Ago 2021</v>
          </cell>
          <cell r="F88" t="str">
            <v>Andersen</v>
          </cell>
        </row>
        <row r="89">
          <cell r="B89" t="str">
            <v>Vigueta x 4 mts - SHAP</v>
          </cell>
          <cell r="E89" t="str">
            <v>Ago 2021</v>
          </cell>
          <cell r="F89" t="str">
            <v>Andersen</v>
          </cell>
        </row>
        <row r="90">
          <cell r="B90" t="str">
            <v>Vigueta x 4,2 mts - SHAP</v>
          </cell>
          <cell r="E90" t="str">
            <v>Ago 2021</v>
          </cell>
          <cell r="F90" t="str">
            <v>Andersen</v>
          </cell>
        </row>
        <row r="91">
          <cell r="B91" t="str">
            <v>Vigueta x 4,4 mts - SHAP</v>
          </cell>
          <cell r="E91" t="str">
            <v>Ago 2021</v>
          </cell>
          <cell r="F91" t="str">
            <v>Andersen</v>
          </cell>
        </row>
        <row r="92">
          <cell r="B92" t="str">
            <v>Vigueta x 4,6 mts - SHAP</v>
          </cell>
          <cell r="E92" t="str">
            <v>Ago 2021</v>
          </cell>
          <cell r="F92" t="str">
            <v>Andersen</v>
          </cell>
        </row>
        <row r="93">
          <cell r="B93" t="str">
            <v>Vigueta x 4,8 mts - SHAP</v>
          </cell>
          <cell r="E93" t="str">
            <v>Ago 2021</v>
          </cell>
          <cell r="F93" t="str">
            <v>Andersen</v>
          </cell>
        </row>
        <row r="94">
          <cell r="B94" t="str">
            <v>Vigueta x 5 mts - SHAP</v>
          </cell>
          <cell r="E94" t="str">
            <v>Ago 2021</v>
          </cell>
          <cell r="F94" t="str">
            <v>Andersen</v>
          </cell>
        </row>
        <row r="95">
          <cell r="B95" t="str">
            <v>Vigueta x 5,2 mts - SHAP</v>
          </cell>
          <cell r="E95" t="str">
            <v>Ago 2021</v>
          </cell>
          <cell r="F95" t="str">
            <v>Andersen</v>
          </cell>
        </row>
        <row r="96">
          <cell r="B96" t="str">
            <v>Vigueta x 5,4 mts - SHAP</v>
          </cell>
          <cell r="E96" t="str">
            <v>Ago 2021</v>
          </cell>
          <cell r="F96" t="str">
            <v>Andersen</v>
          </cell>
        </row>
        <row r="97">
          <cell r="B97" t="str">
            <v>Vigueta x 5,6 mts - SHAP</v>
          </cell>
          <cell r="E97" t="str">
            <v>Ago 2021</v>
          </cell>
          <cell r="F97" t="str">
            <v>Andersen</v>
          </cell>
        </row>
        <row r="98">
          <cell r="B98" t="str">
            <v>Vigueta x 5,8 mts - SHAP</v>
          </cell>
          <cell r="E98" t="str">
            <v>Ago 2021</v>
          </cell>
          <cell r="F98" t="str">
            <v>Andersen</v>
          </cell>
        </row>
        <row r="99">
          <cell r="B99" t="str">
            <v>Vigueta x 6 mts - SHAP</v>
          </cell>
          <cell r="E99" t="str">
            <v>Ago 2021</v>
          </cell>
          <cell r="F99" t="str">
            <v>Andersen</v>
          </cell>
        </row>
        <row r="100">
          <cell r="B100" t="str">
            <v>Vigueta x 6,2 mts - SHAP</v>
          </cell>
          <cell r="E100" t="str">
            <v>Ago 2021</v>
          </cell>
          <cell r="F100" t="str">
            <v>Andersen</v>
          </cell>
        </row>
        <row r="101">
          <cell r="B101" t="str">
            <v>Vigueta x 6,4 mts - SHAP</v>
          </cell>
          <cell r="E101" t="str">
            <v>Ago 2021</v>
          </cell>
          <cell r="F101" t="str">
            <v>Andersen</v>
          </cell>
        </row>
        <row r="102">
          <cell r="B102" t="str">
            <v>Vigueta x 6,6 mts - SHAP</v>
          </cell>
          <cell r="E102" t="str">
            <v>Ago 2021</v>
          </cell>
          <cell r="F102" t="str">
            <v>Andersen</v>
          </cell>
        </row>
        <row r="103">
          <cell r="B103" t="str">
            <v>Vigueta x 6,8 mts - SHAP</v>
          </cell>
          <cell r="E103" t="str">
            <v>Ago 2021</v>
          </cell>
          <cell r="F103" t="str">
            <v>Andersen</v>
          </cell>
        </row>
        <row r="104">
          <cell r="B104" t="str">
            <v>Vigueta x 7 mts - SHAP</v>
          </cell>
          <cell r="E104" t="str">
            <v>Ago 2021</v>
          </cell>
          <cell r="F104" t="str">
            <v>Andersen</v>
          </cell>
        </row>
        <row r="105">
          <cell r="B105" t="str">
            <v>Membrana 4 Profesional  con aluminio</v>
          </cell>
          <cell r="D105">
            <v>6926</v>
          </cell>
          <cell r="E105" t="str">
            <v>Ago 2021</v>
          </cell>
          <cell r="F105" t="str">
            <v>Andersen</v>
          </cell>
        </row>
        <row r="106">
          <cell r="B106" t="str">
            <v>Membrana 4  Profesional  sin aluminio</v>
          </cell>
          <cell r="D106">
            <v>6510</v>
          </cell>
          <cell r="E106" t="str">
            <v>Ago 2021</v>
          </cell>
          <cell r="F106" t="str">
            <v>Andersen</v>
          </cell>
        </row>
        <row r="107">
          <cell r="B107" t="str">
            <v>Membrana Maxiplast 3mm (linea economica)</v>
          </cell>
          <cell r="D107">
            <v>4905</v>
          </cell>
          <cell r="E107" t="str">
            <v>Ago 2021</v>
          </cell>
          <cell r="F107" t="str">
            <v>Andersen</v>
          </cell>
        </row>
        <row r="108">
          <cell r="B108" t="str">
            <v>Membrana Geotextil 40 Kg.  Transitable</v>
          </cell>
          <cell r="D108">
            <v>9924</v>
          </cell>
          <cell r="E108" t="str">
            <v>Ago 2021</v>
          </cell>
          <cell r="F108" t="str">
            <v>Andersen</v>
          </cell>
        </row>
        <row r="109">
          <cell r="B109" t="str">
            <v>Pintura asfáltica x 200 lts.base solvente</v>
          </cell>
          <cell r="D109">
            <v>61887</v>
          </cell>
          <cell r="E109" t="str">
            <v>Ago 2021</v>
          </cell>
          <cell r="F109" t="str">
            <v>Andersen</v>
          </cell>
        </row>
        <row r="110">
          <cell r="B110" t="str">
            <v>Pintura asfáltica x 18 lts.</v>
          </cell>
          <cell r="D110">
            <v>7048</v>
          </cell>
          <cell r="E110" t="str">
            <v>Ago 2021</v>
          </cell>
          <cell r="F110" t="str">
            <v>Andersen</v>
          </cell>
        </row>
        <row r="111">
          <cell r="B111" t="str">
            <v>Pintura asfáltica x 10 lts.</v>
          </cell>
          <cell r="D111">
            <v>4034</v>
          </cell>
          <cell r="E111" t="str">
            <v>Ago 2021</v>
          </cell>
          <cell r="F111" t="str">
            <v>Andersen</v>
          </cell>
        </row>
        <row r="112">
          <cell r="B112" t="str">
            <v>Pintura asfáltica x 4 lts.</v>
          </cell>
          <cell r="D112">
            <v>1836</v>
          </cell>
          <cell r="E112" t="str">
            <v>Ago 2021</v>
          </cell>
          <cell r="F112" t="str">
            <v>Andersen</v>
          </cell>
        </row>
        <row r="113">
          <cell r="B113" t="str">
            <v>Pintura asfáltica x 1 lts.</v>
          </cell>
          <cell r="D113">
            <v>669</v>
          </cell>
          <cell r="E113" t="str">
            <v>Ago 2021</v>
          </cell>
          <cell r="F113" t="str">
            <v>Andersen</v>
          </cell>
        </row>
        <row r="114">
          <cell r="B114" t="str">
            <v>Emulsión asfáltica x 18 lts. (acuosa)</v>
          </cell>
          <cell r="D114">
            <v>3066</v>
          </cell>
          <cell r="E114" t="str">
            <v>Ago 2021</v>
          </cell>
          <cell r="F114" t="str">
            <v>Andersen</v>
          </cell>
        </row>
        <row r="115">
          <cell r="B115" t="str">
            <v>Fieltro asfaltico pesado x 40 mts (por pedido)</v>
          </cell>
          <cell r="D115">
            <v>4975</v>
          </cell>
          <cell r="E115" t="str">
            <v>Ago 2021</v>
          </cell>
          <cell r="F115" t="str">
            <v>Andersen</v>
          </cell>
        </row>
        <row r="116">
          <cell r="B116" t="str">
            <v>Rollo Polietileno Negro 2x100mts/100mic.</v>
          </cell>
          <cell r="D116">
            <v>5088</v>
          </cell>
          <cell r="E116" t="str">
            <v>Ago 2021</v>
          </cell>
          <cell r="F116" t="str">
            <v>Andersen</v>
          </cell>
        </row>
        <row r="117">
          <cell r="B117" t="str">
            <v>Rollo Polietileno Negro 2x 50mts /200mic.</v>
          </cell>
          <cell r="D117">
            <v>5088</v>
          </cell>
          <cell r="E117" t="str">
            <v>Ago 2021</v>
          </cell>
          <cell r="F117" t="str">
            <v>Andersen</v>
          </cell>
        </row>
        <row r="118">
          <cell r="B118" t="str">
            <v>Ladrillo refractario</v>
          </cell>
          <cell r="D118">
            <v>327</v>
          </cell>
          <cell r="E118" t="str">
            <v>Ago 2021</v>
          </cell>
          <cell r="F118" t="str">
            <v>Andersen</v>
          </cell>
        </row>
        <row r="119">
          <cell r="B119" t="str">
            <v>Tejuela refractaria</v>
          </cell>
          <cell r="D119">
            <v>123</v>
          </cell>
          <cell r="E119" t="str">
            <v>Ago 2021</v>
          </cell>
          <cell r="F119" t="str">
            <v>Andersen</v>
          </cell>
        </row>
        <row r="120">
          <cell r="B120" t="str">
            <v>Listón refractario</v>
          </cell>
          <cell r="D120">
            <v>55</v>
          </cell>
          <cell r="E120" t="str">
            <v>Ago 2021</v>
          </cell>
          <cell r="F120" t="str">
            <v>Andersen</v>
          </cell>
        </row>
        <row r="121">
          <cell r="B121" t="str">
            <v>Nariz Refractaria (larga)</v>
          </cell>
          <cell r="D121">
            <v>186</v>
          </cell>
          <cell r="E121" t="str">
            <v>Ago 2021</v>
          </cell>
          <cell r="F121" t="str">
            <v>Andersen</v>
          </cell>
        </row>
        <row r="122">
          <cell r="B122" t="str">
            <v>Nariz Refractaria (corta)</v>
          </cell>
          <cell r="D122">
            <v>154</v>
          </cell>
          <cell r="E122" t="str">
            <v>Ago 2021</v>
          </cell>
          <cell r="F122" t="str">
            <v>Andersen</v>
          </cell>
        </row>
        <row r="123">
          <cell r="B123" t="str">
            <v>Tierra refractaria x 30 Kg.</v>
          </cell>
          <cell r="D123">
            <v>1953</v>
          </cell>
          <cell r="E123" t="str">
            <v>Ago 2021</v>
          </cell>
          <cell r="F123" t="str">
            <v>Andersen</v>
          </cell>
        </row>
        <row r="124">
          <cell r="B124" t="str">
            <v>Tierra refractaria x 10 Kg.</v>
          </cell>
          <cell r="D124">
            <v>737</v>
          </cell>
          <cell r="E124" t="str">
            <v>Ago 2021</v>
          </cell>
          <cell r="F124" t="str">
            <v>Andersen</v>
          </cell>
        </row>
        <row r="125">
          <cell r="B125" t="str">
            <v>Cemento Refractario x 10Kg.</v>
          </cell>
          <cell r="D125">
            <v>1344</v>
          </cell>
          <cell r="E125" t="str">
            <v>Ago 2021</v>
          </cell>
          <cell r="F125" t="str">
            <v>Andersen</v>
          </cell>
        </row>
        <row r="126">
          <cell r="B126" t="str">
            <v>Weber tec Refractarios</v>
          </cell>
          <cell r="D126">
            <v>4020</v>
          </cell>
          <cell r="E126" t="str">
            <v>Ago 2021</v>
          </cell>
          <cell r="F126" t="str">
            <v>Andersen</v>
          </cell>
        </row>
        <row r="127">
          <cell r="B127" t="str">
            <v>Telgopor Plancha 20 mm st baja dens.</v>
          </cell>
          <cell r="D127">
            <v>263</v>
          </cell>
          <cell r="F127" t="str">
            <v>Andersen</v>
          </cell>
        </row>
        <row r="128">
          <cell r="B128" t="str">
            <v>Telgopor Plancha 20 mm 20 kg.</v>
          </cell>
          <cell r="D128">
            <v>589</v>
          </cell>
          <cell r="F128" t="str">
            <v>Andersen</v>
          </cell>
        </row>
        <row r="129">
          <cell r="B129" t="str">
            <v>Placa EPS Webertherm Eifs 50 mm 20 kg/m3 1x0,50</v>
          </cell>
          <cell r="F129" t="str">
            <v>ML</v>
          </cell>
        </row>
        <row r="130">
          <cell r="B130" t="str">
            <v>Poliurea materiales</v>
          </cell>
          <cell r="F130" t="str">
            <v>DESMOPOL</v>
          </cell>
        </row>
        <row r="131">
          <cell r="B131" t="str">
            <v>WEBER PROMEX E 3x1 x 30 kg</v>
          </cell>
          <cell r="F131" t="str">
            <v>ML</v>
          </cell>
        </row>
        <row r="132">
          <cell r="B132" t="str">
            <v>Bloque techo Isoblock 12.5x42x100 NRO2</v>
          </cell>
          <cell r="D132">
            <v>389</v>
          </cell>
          <cell r="F132" t="str">
            <v>Andersen</v>
          </cell>
        </row>
        <row r="133">
          <cell r="B133" t="str">
            <v>Bloque techo Isoblock 10x42x100 NRO1</v>
          </cell>
          <cell r="D133">
            <v>324</v>
          </cell>
          <cell r="F133" t="str">
            <v>Andersen</v>
          </cell>
        </row>
        <row r="134">
          <cell r="B134" t="str">
            <v xml:space="preserve">Hormigón Elaborado H21 </v>
          </cell>
          <cell r="D134">
            <v>15000</v>
          </cell>
          <cell r="F134" t="str">
            <v>Horba</v>
          </cell>
        </row>
        <row r="135">
          <cell r="B135" t="str">
            <v>Servicio de Bombeo por m3</v>
          </cell>
          <cell r="D135">
            <v>540</v>
          </cell>
          <cell r="F135" t="str">
            <v>Horba</v>
          </cell>
        </row>
        <row r="136">
          <cell r="B136" t="str">
            <v>Sika Monotop 107 x 25 kg</v>
          </cell>
          <cell r="F136"/>
        </row>
        <row r="137">
          <cell r="B137" t="str">
            <v>Traslado de Bomba Pluma</v>
          </cell>
          <cell r="D137">
            <v>54000</v>
          </cell>
          <cell r="F137" t="str">
            <v>Horba</v>
          </cell>
        </row>
        <row r="138">
          <cell r="B138" t="str">
            <v xml:space="preserve">Membrana cementicia Webertec 10l+15k rinde 12 m2 </v>
          </cell>
          <cell r="D138">
            <v>9370</v>
          </cell>
          <cell r="F138"/>
        </row>
        <row r="139">
          <cell r="B139" t="str">
            <v>Membrana liquida Techos Sinteplast x 20 kg</v>
          </cell>
          <cell r="D139">
            <v>7641</v>
          </cell>
          <cell r="F139"/>
        </row>
        <row r="140">
          <cell r="B140" t="str">
            <v>Pinceleta de cerda tipo brocha</v>
          </cell>
          <cell r="D140">
            <v>370</v>
          </cell>
          <cell r="F140"/>
        </row>
        <row r="141">
          <cell r="B141" t="str">
            <v>MORTERO ADHESIVO x 30 KG (RETAK)</v>
          </cell>
          <cell r="D141">
            <v>1625</v>
          </cell>
          <cell r="F141"/>
        </row>
        <row r="142">
          <cell r="B142" t="str">
            <v>Retak 12,5</v>
          </cell>
          <cell r="D142">
            <v>515</v>
          </cell>
          <cell r="F142"/>
        </row>
        <row r="143">
          <cell r="B143" t="str">
            <v>Retak 15</v>
          </cell>
          <cell r="D143">
            <v>677</v>
          </cell>
          <cell r="F143"/>
        </row>
        <row r="144">
          <cell r="B144" t="str">
            <v>Retak 20</v>
          </cell>
          <cell r="D144">
            <v>696</v>
          </cell>
          <cell r="F144"/>
        </row>
        <row r="145">
          <cell r="B145" t="str">
            <v xml:space="preserve">Chapa conectora Retak </v>
          </cell>
          <cell r="D145">
            <v>200</v>
          </cell>
          <cell r="F145"/>
        </row>
        <row r="146">
          <cell r="B146" t="str">
            <v>Alfajia Grandis Saligna 2x1 x ml</v>
          </cell>
          <cell r="D146">
            <v>210</v>
          </cell>
          <cell r="F146" t="str">
            <v>ML</v>
          </cell>
        </row>
        <row r="147">
          <cell r="B147" t="str">
            <v>Alfajia Pino seca cepillada 1x1 x ml</v>
          </cell>
          <cell r="D147">
            <v>65</v>
          </cell>
          <cell r="F147" t="str">
            <v>ML</v>
          </cell>
        </row>
        <row r="148">
          <cell r="B148" t="str">
            <v>Cabio 2 x 6 x metro pino eliotis seco horno</v>
          </cell>
          <cell r="D148">
            <v>433.33333333333331</v>
          </cell>
          <cell r="F148"/>
        </row>
        <row r="149">
          <cell r="B149" t="str">
            <v>Cabio 3 x 8  x metro pino eliotis</v>
          </cell>
          <cell r="D149">
            <v>1800</v>
          </cell>
          <cell r="F149"/>
        </row>
        <row r="150">
          <cell r="B150" t="str">
            <v>Cetol Satinado Exterior x 4 lts</v>
          </cell>
          <cell r="D150">
            <v>5500</v>
          </cell>
          <cell r="F150"/>
        </row>
        <row r="151">
          <cell r="B151" t="str">
            <v xml:space="preserve">Tabla saligna 1x4 x  3,66ml </v>
          </cell>
          <cell r="D151">
            <v>285</v>
          </cell>
          <cell r="F151"/>
        </row>
        <row r="152">
          <cell r="B152" t="str">
            <v>Tirante saligna 3x3 para cerco  x ml</v>
          </cell>
          <cell r="D152">
            <v>200</v>
          </cell>
          <cell r="F152"/>
        </row>
        <row r="153">
          <cell r="B153" t="str">
            <v>Tornillo fix para madera 3,5x50 x 500</v>
          </cell>
          <cell r="D153">
            <v>1720</v>
          </cell>
          <cell r="F153"/>
        </row>
        <row r="154">
          <cell r="B154" t="str">
            <v>Enduido Andina x 30 kg antihongo</v>
          </cell>
          <cell r="D154">
            <v>4990</v>
          </cell>
          <cell r="F154"/>
        </row>
        <row r="155">
          <cell r="B155" t="str">
            <v>Esmalte Sintetico Sinteplast Max 3 en 1 x 4 lts.</v>
          </cell>
          <cell r="D155">
            <v>5500</v>
          </cell>
          <cell r="F155"/>
        </row>
        <row r="156">
          <cell r="B156" t="str">
            <v>Fijador al agua Sherwin x 20 lts</v>
          </cell>
          <cell r="D156">
            <v>6415</v>
          </cell>
          <cell r="F156"/>
        </row>
        <row r="157">
          <cell r="B157" t="str">
            <v>Latex interior SW kim z10 x 20 lts.</v>
          </cell>
          <cell r="D157">
            <v>11980</v>
          </cell>
          <cell r="F157"/>
        </row>
        <row r="158">
          <cell r="B158" t="str">
            <v xml:space="preserve">Arandela plastica washer para Eifs </v>
          </cell>
          <cell r="D158">
            <v>5.75</v>
          </cell>
          <cell r="F158"/>
        </row>
        <row r="159">
          <cell r="B159" t="str">
            <v>Base Coat Webertherm x 30 kg 2-3 mm</v>
          </cell>
          <cell r="D159">
            <v>3300</v>
          </cell>
          <cell r="F159"/>
        </row>
        <row r="160">
          <cell r="B160" t="str">
            <v>Cantonera yeso con metal desplegado 2,6 ml</v>
          </cell>
          <cell r="F160"/>
        </row>
        <row r="161">
          <cell r="B161" t="str">
            <v>Chapa sinusoidal Galvanizada C25 (3mm) 1x1,10 m</v>
          </cell>
          <cell r="D161">
            <v>1900</v>
          </cell>
          <cell r="F161" t="str">
            <v>ML</v>
          </cell>
        </row>
        <row r="162">
          <cell r="B162" t="str">
            <v>Chapa sinusoidal Galvanizada COLOR C25 (3mm) 1x1,10 m</v>
          </cell>
          <cell r="D162">
            <v>2800</v>
          </cell>
          <cell r="F162" t="str">
            <v>ML</v>
          </cell>
        </row>
        <row r="163">
          <cell r="B163" t="str">
            <v>Cinta papel microperforada Knauf x 75 m</v>
          </cell>
          <cell r="D163">
            <v>702</v>
          </cell>
          <cell r="F163" t="str">
            <v>ML</v>
          </cell>
        </row>
        <row r="164">
          <cell r="B164" t="str">
            <v>Clavadera Grandis Saligna 2x2 x ml</v>
          </cell>
          <cell r="D164">
            <v>160</v>
          </cell>
          <cell r="F164" t="str">
            <v>ML</v>
          </cell>
        </row>
        <row r="165">
          <cell r="B165" t="str">
            <v>Machimbre Pino 1" seco</v>
          </cell>
          <cell r="F165"/>
        </row>
        <row r="166">
          <cell r="B166" t="str">
            <v>Hidrofugo Ceresita x 20 kg por kg</v>
          </cell>
          <cell r="D166">
            <v>1945</v>
          </cell>
          <cell r="F166"/>
        </row>
        <row r="167">
          <cell r="B167" t="str">
            <v>Lana de Roca Mineral rollo 5x50 40 kg/m3 por m2</v>
          </cell>
          <cell r="D167">
            <v>1185.8</v>
          </cell>
          <cell r="F167" t="str">
            <v>ML</v>
          </cell>
        </row>
        <row r="168">
          <cell r="B168" t="str">
            <v>Lana de Vidrio 50 mm 1,2 m x 18 m</v>
          </cell>
          <cell r="D168">
            <v>7317</v>
          </cell>
          <cell r="F168" t="str">
            <v>ML</v>
          </cell>
        </row>
        <row r="169">
          <cell r="B169" t="str">
            <v xml:space="preserve">Malla fibra de vidrio 5x5 160 gr. 1mx50m </v>
          </cell>
          <cell r="D169">
            <v>7000</v>
          </cell>
          <cell r="F169" t="str">
            <v>ML</v>
          </cell>
        </row>
        <row r="170">
          <cell r="B170" t="str">
            <v>masilla multiuso x 32 kg</v>
          </cell>
          <cell r="D170">
            <v>2650</v>
          </cell>
          <cell r="F170" t="str">
            <v>ML</v>
          </cell>
        </row>
        <row r="171">
          <cell r="B171" t="str">
            <v>Placa cementicia superboard 8 mm 1,2x*2,4 m</v>
          </cell>
          <cell r="D171">
            <v>4000</v>
          </cell>
          <cell r="F171" t="str">
            <v>ML</v>
          </cell>
        </row>
        <row r="172">
          <cell r="B172" t="str">
            <v>Placa de yeso Knauf 120 x 240 impact - 12.5 mm</v>
          </cell>
          <cell r="D172">
            <v>1200</v>
          </cell>
          <cell r="F172" t="str">
            <v>ML</v>
          </cell>
        </row>
        <row r="173">
          <cell r="B173" t="str">
            <v>Placa siding Cedral Eternit 8 mm 3,6x,20 m</v>
          </cell>
          <cell r="D173">
            <v>1845</v>
          </cell>
          <cell r="F173"/>
        </row>
        <row r="174">
          <cell r="B174" t="str">
            <v>Placa fenolico 25 mm grandis</v>
          </cell>
          <cell r="D174">
            <v>8175</v>
          </cell>
          <cell r="F174" t="str">
            <v>ml</v>
          </cell>
        </row>
        <row r="175">
          <cell r="B175" t="str">
            <v>Placa Fenolico 8 mm una cara buena 1,22x2,44</v>
          </cell>
          <cell r="D175">
            <v>3500</v>
          </cell>
          <cell r="F175"/>
        </row>
        <row r="176">
          <cell r="B176" t="str">
            <v>Placas Aquaboard 10mm tamaño 120x240 cm</v>
          </cell>
          <cell r="D176">
            <v>5080</v>
          </cell>
          <cell r="F176"/>
        </row>
        <row r="177">
          <cell r="B177" t="str">
            <v>Placas de MGO 10 mm de espesor tamaño 120x240 cm</v>
          </cell>
          <cell r="F177"/>
        </row>
        <row r="178">
          <cell r="B178" t="str">
            <v>Puente Adherencia Weberprim IC52 fibrado Bicomp. Solido 30 kg x,7 + liquido x18 kG x ,4</v>
          </cell>
          <cell r="F178"/>
        </row>
        <row r="179">
          <cell r="B179" t="str">
            <v>Revestimiento texturado Quimtex Romano Mix dos manos</v>
          </cell>
          <cell r="F179"/>
        </row>
        <row r="180">
          <cell r="B180" t="str">
            <v>TACURU x 10 Lts (WEBER)</v>
          </cell>
          <cell r="F180"/>
        </row>
        <row r="181">
          <cell r="B181" t="str">
            <v>Tornillo aguja T1</v>
          </cell>
          <cell r="F181" t="str">
            <v>ML</v>
          </cell>
        </row>
        <row r="182">
          <cell r="B182" t="str">
            <v xml:space="preserve">Tornillo aguja T2 </v>
          </cell>
          <cell r="F182" t="str">
            <v>ML</v>
          </cell>
        </row>
        <row r="183">
          <cell r="B183" t="str">
            <v>Weber col Superflex (losa radiante y fachadas)</v>
          </cell>
          <cell r="F183"/>
        </row>
        <row r="184">
          <cell r="B184" t="str">
            <v>Biodigestor 600l + camara inspecc + camara lodos</v>
          </cell>
          <cell r="F184"/>
        </row>
        <row r="185">
          <cell r="B185" t="str">
            <v xml:space="preserve">Manta geotextil 180 gr </v>
          </cell>
          <cell r="F185"/>
        </row>
        <row r="186">
          <cell r="B186" t="str">
            <v>Caño 110 Awaduct</v>
          </cell>
          <cell r="F186"/>
        </row>
        <row r="187">
          <cell r="B187" t="str">
            <v xml:space="preserve">Media sombra 80% verde 2x50 m </v>
          </cell>
          <cell r="F187"/>
        </row>
        <row r="188">
          <cell r="B188" t="str">
            <v>Subontrato de Mov. Suelos entoscado y compactacion</v>
          </cell>
          <cell r="F188" t="str">
            <v>Federico Pilar</v>
          </cell>
        </row>
        <row r="189">
          <cell r="B189" t="str">
            <v>Cerrojo</v>
          </cell>
          <cell r="F189"/>
        </row>
        <row r="190">
          <cell r="B190" t="str">
            <v xml:space="preserve">Perfil Montante 35 mm x 2,6 m </v>
          </cell>
          <cell r="F190" t="str">
            <v>ML</v>
          </cell>
        </row>
        <row r="191">
          <cell r="B191" t="str">
            <v>Perfil Solera 34 mm x 2,6 m</v>
          </cell>
          <cell r="F191" t="str">
            <v>ML</v>
          </cell>
        </row>
        <row r="192">
          <cell r="B192"/>
          <cell r="F192"/>
        </row>
        <row r="193">
          <cell r="B193"/>
          <cell r="F193"/>
        </row>
        <row r="194">
          <cell r="B194"/>
          <cell r="F194"/>
        </row>
        <row r="195">
          <cell r="B195"/>
          <cell r="F195"/>
        </row>
        <row r="196">
          <cell r="B196"/>
          <cell r="F196"/>
        </row>
        <row r="197">
          <cell r="B197"/>
          <cell r="F197"/>
        </row>
        <row r="198">
          <cell r="B198"/>
          <cell r="F198"/>
        </row>
        <row r="199">
          <cell r="B199"/>
          <cell r="F199"/>
        </row>
        <row r="200">
          <cell r="B200"/>
          <cell r="F200"/>
        </row>
        <row r="201">
          <cell r="B201"/>
          <cell r="F201"/>
        </row>
        <row r="202">
          <cell r="B202"/>
          <cell r="F202"/>
        </row>
        <row r="203">
          <cell r="B203"/>
          <cell r="F203"/>
        </row>
        <row r="204">
          <cell r="B204"/>
          <cell r="F204"/>
        </row>
        <row r="205">
          <cell r="B205"/>
          <cell r="F205"/>
        </row>
        <row r="206">
          <cell r="B206"/>
          <cell r="F206"/>
        </row>
        <row r="207">
          <cell r="B207"/>
          <cell r="F207"/>
        </row>
        <row r="208">
          <cell r="B208"/>
          <cell r="F208"/>
        </row>
        <row r="209">
          <cell r="B209"/>
          <cell r="F209"/>
        </row>
        <row r="210">
          <cell r="B210"/>
          <cell r="F210"/>
        </row>
        <row r="211">
          <cell r="B211"/>
          <cell r="F211"/>
        </row>
        <row r="212">
          <cell r="B212"/>
          <cell r="F212"/>
        </row>
        <row r="213">
          <cell r="B213"/>
          <cell r="F213"/>
        </row>
        <row r="214">
          <cell r="B214"/>
          <cell r="F214"/>
        </row>
        <row r="215">
          <cell r="B215"/>
          <cell r="F215"/>
        </row>
        <row r="216">
          <cell r="B216"/>
          <cell r="F216"/>
        </row>
        <row r="217">
          <cell r="B217"/>
          <cell r="F217"/>
        </row>
        <row r="218">
          <cell r="B218"/>
          <cell r="F218"/>
        </row>
        <row r="219">
          <cell r="B219"/>
          <cell r="F219"/>
        </row>
        <row r="220">
          <cell r="B220"/>
          <cell r="F220"/>
        </row>
        <row r="221">
          <cell r="B221"/>
          <cell r="F221"/>
        </row>
        <row r="222">
          <cell r="B222"/>
          <cell r="F222"/>
        </row>
        <row r="223">
          <cell r="B223"/>
          <cell r="F223"/>
        </row>
        <row r="224">
          <cell r="B224"/>
          <cell r="F224"/>
        </row>
        <row r="225">
          <cell r="B225"/>
          <cell r="F225"/>
        </row>
        <row r="226">
          <cell r="B226"/>
          <cell r="F226"/>
        </row>
        <row r="227">
          <cell r="B227"/>
          <cell r="F227"/>
        </row>
        <row r="228">
          <cell r="B228"/>
          <cell r="F228"/>
        </row>
        <row r="229">
          <cell r="B229"/>
          <cell r="F229"/>
        </row>
        <row r="230">
          <cell r="B230"/>
          <cell r="F230"/>
        </row>
        <row r="231">
          <cell r="B231"/>
          <cell r="F231"/>
        </row>
        <row r="232">
          <cell r="B232"/>
          <cell r="F232"/>
        </row>
        <row r="233">
          <cell r="B233"/>
          <cell r="F233"/>
        </row>
        <row r="234">
          <cell r="B234"/>
          <cell r="F234"/>
        </row>
        <row r="235">
          <cell r="B235"/>
          <cell r="F235"/>
        </row>
        <row r="236">
          <cell r="B236"/>
          <cell r="F236"/>
        </row>
        <row r="237">
          <cell r="B237"/>
          <cell r="F237"/>
        </row>
        <row r="238">
          <cell r="B238"/>
          <cell r="F238"/>
        </row>
        <row r="239">
          <cell r="B239"/>
          <cell r="F239"/>
        </row>
        <row r="240">
          <cell r="B240"/>
          <cell r="F240"/>
        </row>
        <row r="241">
          <cell r="B241"/>
          <cell r="F241"/>
        </row>
        <row r="242">
          <cell r="B242"/>
          <cell r="F242"/>
        </row>
        <row r="243">
          <cell r="B243"/>
          <cell r="F243"/>
        </row>
        <row r="244">
          <cell r="B244"/>
          <cell r="F244"/>
        </row>
        <row r="245">
          <cell r="B245"/>
          <cell r="F245"/>
        </row>
        <row r="246">
          <cell r="B246"/>
          <cell r="F246"/>
        </row>
        <row r="247">
          <cell r="B247"/>
          <cell r="F247"/>
        </row>
        <row r="248">
          <cell r="B248"/>
          <cell r="F248"/>
        </row>
        <row r="249">
          <cell r="B249"/>
          <cell r="F249"/>
        </row>
        <row r="250">
          <cell r="B250"/>
          <cell r="F250"/>
        </row>
        <row r="251">
          <cell r="B251"/>
          <cell r="F251"/>
        </row>
        <row r="252">
          <cell r="B252"/>
          <cell r="F252"/>
        </row>
        <row r="253">
          <cell r="B253"/>
          <cell r="F253"/>
        </row>
        <row r="254">
          <cell r="B254"/>
          <cell r="F254"/>
        </row>
        <row r="255">
          <cell r="B255"/>
          <cell r="F255"/>
        </row>
        <row r="256">
          <cell r="B256"/>
          <cell r="F256"/>
        </row>
        <row r="257">
          <cell r="B257"/>
          <cell r="F257"/>
        </row>
        <row r="258">
          <cell r="B258"/>
          <cell r="F258"/>
        </row>
        <row r="259">
          <cell r="B259"/>
          <cell r="F259"/>
        </row>
        <row r="260">
          <cell r="B260"/>
          <cell r="F260"/>
        </row>
        <row r="261">
          <cell r="B261"/>
          <cell r="F261"/>
        </row>
        <row r="262">
          <cell r="B262"/>
          <cell r="F262"/>
        </row>
        <row r="263">
          <cell r="B263"/>
          <cell r="F263"/>
        </row>
        <row r="264">
          <cell r="B264"/>
          <cell r="F264"/>
        </row>
        <row r="265">
          <cell r="B265"/>
          <cell r="F265"/>
        </row>
        <row r="266">
          <cell r="B266"/>
          <cell r="F266"/>
        </row>
        <row r="267">
          <cell r="B267"/>
          <cell r="F267"/>
        </row>
        <row r="268">
          <cell r="B268"/>
          <cell r="F268"/>
        </row>
        <row r="269">
          <cell r="B269"/>
          <cell r="F269"/>
        </row>
        <row r="270">
          <cell r="B270"/>
          <cell r="F270"/>
        </row>
        <row r="271">
          <cell r="B271"/>
          <cell r="F271"/>
        </row>
        <row r="272">
          <cell r="B272"/>
          <cell r="F272"/>
        </row>
        <row r="273">
          <cell r="B273"/>
          <cell r="F273"/>
        </row>
        <row r="274">
          <cell r="B274"/>
          <cell r="F274"/>
        </row>
        <row r="275">
          <cell r="B275"/>
          <cell r="F275"/>
        </row>
        <row r="276">
          <cell r="B276"/>
          <cell r="F276"/>
        </row>
        <row r="277">
          <cell r="B277"/>
          <cell r="F277"/>
        </row>
        <row r="278">
          <cell r="B278"/>
          <cell r="F278"/>
        </row>
        <row r="279">
          <cell r="B279"/>
          <cell r="F279"/>
        </row>
        <row r="280">
          <cell r="B280"/>
          <cell r="F280"/>
        </row>
        <row r="281">
          <cell r="B281"/>
          <cell r="F281"/>
        </row>
        <row r="282">
          <cell r="B282"/>
          <cell r="F282"/>
        </row>
        <row r="283">
          <cell r="B283"/>
          <cell r="F283"/>
        </row>
        <row r="284">
          <cell r="B284"/>
          <cell r="F284"/>
        </row>
        <row r="285">
          <cell r="B285"/>
          <cell r="F285"/>
        </row>
        <row r="286">
          <cell r="B286"/>
          <cell r="F286"/>
        </row>
        <row r="287">
          <cell r="B287"/>
          <cell r="F287"/>
        </row>
        <row r="288">
          <cell r="B288"/>
          <cell r="F288"/>
        </row>
        <row r="289">
          <cell r="B289"/>
          <cell r="F289"/>
        </row>
        <row r="290">
          <cell r="B290"/>
          <cell r="F290"/>
        </row>
        <row r="291">
          <cell r="B291"/>
          <cell r="F291"/>
        </row>
        <row r="292">
          <cell r="B292"/>
          <cell r="F292"/>
        </row>
        <row r="293">
          <cell r="B293"/>
          <cell r="F293"/>
        </row>
        <row r="294">
          <cell r="B294"/>
          <cell r="F294"/>
        </row>
        <row r="295">
          <cell r="B295"/>
          <cell r="F295"/>
        </row>
        <row r="296">
          <cell r="B296"/>
          <cell r="F296"/>
        </row>
        <row r="297">
          <cell r="B297"/>
          <cell r="F297"/>
        </row>
        <row r="298">
          <cell r="B298"/>
          <cell r="F298"/>
        </row>
        <row r="299">
          <cell r="B299"/>
          <cell r="F299"/>
        </row>
        <row r="300">
          <cell r="B300"/>
          <cell r="F300"/>
        </row>
        <row r="301">
          <cell r="B301"/>
          <cell r="F301"/>
        </row>
        <row r="302">
          <cell r="B302"/>
          <cell r="F302"/>
        </row>
        <row r="303">
          <cell r="B303"/>
          <cell r="F303"/>
        </row>
        <row r="304">
          <cell r="B304"/>
          <cell r="F304"/>
        </row>
        <row r="305">
          <cell r="B305"/>
          <cell r="F305"/>
        </row>
        <row r="306">
          <cell r="B306"/>
          <cell r="F306"/>
        </row>
        <row r="307">
          <cell r="B307"/>
          <cell r="F307"/>
        </row>
        <row r="308">
          <cell r="B308"/>
          <cell r="F308"/>
        </row>
        <row r="309">
          <cell r="B309"/>
          <cell r="F309"/>
        </row>
        <row r="310">
          <cell r="B310"/>
          <cell r="F310"/>
        </row>
        <row r="311">
          <cell r="B311"/>
          <cell r="F311"/>
        </row>
        <row r="312">
          <cell r="B312"/>
          <cell r="F312"/>
        </row>
        <row r="313">
          <cell r="B313"/>
          <cell r="F313"/>
        </row>
        <row r="314">
          <cell r="B314"/>
          <cell r="F314"/>
        </row>
        <row r="315">
          <cell r="B315"/>
          <cell r="F315"/>
        </row>
        <row r="316">
          <cell r="B316"/>
          <cell r="F316"/>
        </row>
        <row r="317">
          <cell r="B317"/>
          <cell r="F317"/>
        </row>
        <row r="318">
          <cell r="B318"/>
          <cell r="F318"/>
        </row>
        <row r="319">
          <cell r="B319"/>
          <cell r="F319"/>
        </row>
        <row r="320">
          <cell r="B320"/>
          <cell r="F320"/>
        </row>
        <row r="321">
          <cell r="B321"/>
          <cell r="F321"/>
        </row>
        <row r="322">
          <cell r="B322"/>
          <cell r="F322"/>
        </row>
        <row r="323">
          <cell r="B323"/>
          <cell r="F323"/>
        </row>
        <row r="324">
          <cell r="B324"/>
          <cell r="F324"/>
        </row>
        <row r="325">
          <cell r="B325"/>
          <cell r="F325"/>
        </row>
        <row r="326">
          <cell r="B326"/>
          <cell r="F326"/>
        </row>
        <row r="327">
          <cell r="B327"/>
          <cell r="F327"/>
        </row>
        <row r="328">
          <cell r="B328"/>
          <cell r="F328"/>
        </row>
        <row r="329">
          <cell r="B329"/>
          <cell r="F329"/>
        </row>
        <row r="330">
          <cell r="B330"/>
          <cell r="F330"/>
        </row>
        <row r="331">
          <cell r="B331"/>
          <cell r="F331"/>
        </row>
        <row r="332">
          <cell r="B332"/>
          <cell r="F332"/>
        </row>
        <row r="333">
          <cell r="B333"/>
          <cell r="F333"/>
        </row>
        <row r="334">
          <cell r="B334"/>
          <cell r="F334"/>
        </row>
        <row r="335">
          <cell r="B335"/>
          <cell r="F335"/>
        </row>
        <row r="336">
          <cell r="B336"/>
          <cell r="F336"/>
        </row>
        <row r="337">
          <cell r="B337"/>
          <cell r="F337"/>
        </row>
        <row r="338">
          <cell r="B338"/>
          <cell r="F338"/>
        </row>
        <row r="339">
          <cell r="B339"/>
          <cell r="F339"/>
        </row>
        <row r="340">
          <cell r="B340"/>
          <cell r="F340"/>
        </row>
        <row r="341">
          <cell r="B341"/>
          <cell r="F341"/>
        </row>
        <row r="342">
          <cell r="B342"/>
          <cell r="F342"/>
        </row>
        <row r="343">
          <cell r="B343"/>
          <cell r="F343"/>
        </row>
        <row r="344">
          <cell r="B344"/>
          <cell r="F344"/>
        </row>
        <row r="345">
          <cell r="B345"/>
          <cell r="F345"/>
        </row>
        <row r="346">
          <cell r="B346"/>
          <cell r="F346"/>
        </row>
        <row r="347">
          <cell r="B347"/>
          <cell r="F347"/>
        </row>
        <row r="348">
          <cell r="B348"/>
          <cell r="F348"/>
        </row>
        <row r="349">
          <cell r="B349"/>
          <cell r="F349"/>
        </row>
        <row r="350">
          <cell r="B350"/>
          <cell r="F350"/>
        </row>
        <row r="351">
          <cell r="B351"/>
          <cell r="F351"/>
        </row>
        <row r="352">
          <cell r="B352"/>
          <cell r="F352"/>
        </row>
        <row r="353">
          <cell r="B353"/>
          <cell r="F353"/>
        </row>
        <row r="354">
          <cell r="B354"/>
          <cell r="F354"/>
        </row>
        <row r="355">
          <cell r="B355"/>
          <cell r="C355"/>
          <cell r="D355"/>
          <cell r="E355"/>
          <cell r="F355"/>
        </row>
      </sheetData>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STOS"/>
      <sheetName val="Precios U"/>
    </sheetNames>
    <sheetDataSet>
      <sheetData sheetId="0"/>
      <sheetData sheetId="1">
        <row r="102">
          <cell r="D102">
            <v>52500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4E1E5-CC31-2649-87A0-DB29DF9562A7}">
  <sheetPr>
    <pageSetUpPr fitToPage="1"/>
  </sheetPr>
  <dimension ref="C3:P53"/>
  <sheetViews>
    <sheetView workbookViewId="0">
      <selection activeCell="C3" sqref="C3:E42"/>
    </sheetView>
  </sheetViews>
  <sheetFormatPr baseColWidth="10" defaultRowHeight="16" x14ac:dyDescent="0.2"/>
  <cols>
    <col min="3" max="3" width="32.6640625" customWidth="1"/>
    <col min="10" max="10" width="23.1640625" customWidth="1"/>
  </cols>
  <sheetData>
    <row r="3" spans="3:16" ht="19" x14ac:dyDescent="0.25">
      <c r="C3" s="121" t="s">
        <v>331</v>
      </c>
      <c r="M3" t="s">
        <v>316</v>
      </c>
      <c r="N3" t="s">
        <v>317</v>
      </c>
      <c r="O3" t="s">
        <v>318</v>
      </c>
      <c r="P3" t="s">
        <v>319</v>
      </c>
    </row>
    <row r="4" spans="3:16" x14ac:dyDescent="0.2">
      <c r="C4" t="s">
        <v>285</v>
      </c>
      <c r="E4">
        <f>+K5+K6+K18+K25+K32+2</f>
        <v>33</v>
      </c>
      <c r="J4" t="s">
        <v>278</v>
      </c>
    </row>
    <row r="5" spans="3:16" x14ac:dyDescent="0.2">
      <c r="C5" t="s">
        <v>286</v>
      </c>
      <c r="E5">
        <f>+K41</f>
        <v>22</v>
      </c>
      <c r="J5" t="s">
        <v>276</v>
      </c>
      <c r="K5">
        <v>12</v>
      </c>
      <c r="M5">
        <f>+K5</f>
        <v>12</v>
      </c>
      <c r="N5">
        <f>12+50</f>
        <v>62</v>
      </c>
      <c r="O5">
        <f>6+M53-P5</f>
        <v>42</v>
      </c>
      <c r="P5">
        <f>1+2</f>
        <v>3</v>
      </c>
    </row>
    <row r="6" spans="3:16" x14ac:dyDescent="0.2">
      <c r="C6" t="s">
        <v>287</v>
      </c>
      <c r="E6">
        <v>3</v>
      </c>
      <c r="J6" t="s">
        <v>277</v>
      </c>
      <c r="K6">
        <v>8</v>
      </c>
      <c r="M6">
        <f>+K6</f>
        <v>8</v>
      </c>
    </row>
    <row r="7" spans="3:16" x14ac:dyDescent="0.2">
      <c r="C7" t="s">
        <v>288</v>
      </c>
      <c r="E7">
        <v>5</v>
      </c>
      <c r="J7" t="s">
        <v>252</v>
      </c>
    </row>
    <row r="8" spans="3:16" x14ac:dyDescent="0.2">
      <c r="C8" t="s">
        <v>289</v>
      </c>
      <c r="E8">
        <v>1</v>
      </c>
      <c r="I8" t="s">
        <v>261</v>
      </c>
      <c r="J8" t="s">
        <v>275</v>
      </c>
      <c r="K8">
        <v>35</v>
      </c>
      <c r="L8" t="s">
        <v>266</v>
      </c>
    </row>
    <row r="9" spans="3:16" x14ac:dyDescent="0.2">
      <c r="C9" s="4" t="s">
        <v>290</v>
      </c>
      <c r="I9" t="s">
        <v>261</v>
      </c>
      <c r="J9" t="s">
        <v>256</v>
      </c>
      <c r="K9">
        <v>35</v>
      </c>
      <c r="L9" t="s">
        <v>25</v>
      </c>
    </row>
    <row r="10" spans="3:16" x14ac:dyDescent="0.2">
      <c r="C10" t="s">
        <v>308</v>
      </c>
      <c r="E10">
        <f>+K8*2</f>
        <v>70</v>
      </c>
      <c r="I10" t="s">
        <v>262</v>
      </c>
      <c r="J10" t="s">
        <v>251</v>
      </c>
      <c r="K10">
        <v>22.3</v>
      </c>
    </row>
    <row r="11" spans="3:16" x14ac:dyDescent="0.2">
      <c r="C11" t="s">
        <v>309</v>
      </c>
      <c r="E11">
        <f>+E10/2</f>
        <v>35</v>
      </c>
    </row>
    <row r="12" spans="3:16" x14ac:dyDescent="0.2">
      <c r="C12" t="s">
        <v>291</v>
      </c>
      <c r="E12">
        <f>1000-350</f>
        <v>650</v>
      </c>
    </row>
    <row r="13" spans="3:16" x14ac:dyDescent="0.2">
      <c r="C13" t="s">
        <v>306</v>
      </c>
      <c r="E13">
        <v>350</v>
      </c>
      <c r="J13" t="s">
        <v>279</v>
      </c>
      <c r="K13">
        <v>1</v>
      </c>
    </row>
    <row r="14" spans="3:16" x14ac:dyDescent="0.2">
      <c r="C14" t="s">
        <v>292</v>
      </c>
      <c r="E14">
        <v>550</v>
      </c>
      <c r="I14" t="s">
        <v>262</v>
      </c>
      <c r="J14" t="s">
        <v>256</v>
      </c>
    </row>
    <row r="15" spans="3:16" x14ac:dyDescent="0.2">
      <c r="C15" t="s">
        <v>307</v>
      </c>
      <c r="E15">
        <f>+E14/2</f>
        <v>275</v>
      </c>
    </row>
    <row r="16" spans="3:16" x14ac:dyDescent="0.2">
      <c r="C16" t="s">
        <v>312</v>
      </c>
      <c r="E16">
        <v>25</v>
      </c>
    </row>
    <row r="17" spans="3:13" x14ac:dyDescent="0.2">
      <c r="C17" t="s">
        <v>313</v>
      </c>
      <c r="E17">
        <v>10</v>
      </c>
      <c r="J17" t="s">
        <v>253</v>
      </c>
    </row>
    <row r="18" spans="3:13" x14ac:dyDescent="0.2">
      <c r="C18" t="s">
        <v>321</v>
      </c>
      <c r="E18">
        <v>12</v>
      </c>
      <c r="J18" t="s">
        <v>250</v>
      </c>
      <c r="K18">
        <v>2</v>
      </c>
      <c r="M18">
        <f>+K18</f>
        <v>2</v>
      </c>
    </row>
    <row r="19" spans="3:13" x14ac:dyDescent="0.2">
      <c r="C19" t="s">
        <v>328</v>
      </c>
      <c r="E19">
        <v>6</v>
      </c>
    </row>
    <row r="20" spans="3:13" x14ac:dyDescent="0.2">
      <c r="C20" t="s">
        <v>329</v>
      </c>
      <c r="E20">
        <v>6</v>
      </c>
      <c r="J20" t="s">
        <v>252</v>
      </c>
      <c r="K20">
        <v>10</v>
      </c>
    </row>
    <row r="21" spans="3:13" x14ac:dyDescent="0.2">
      <c r="C21" t="s">
        <v>293</v>
      </c>
      <c r="E21">
        <v>520</v>
      </c>
      <c r="J21" t="s">
        <v>251</v>
      </c>
      <c r="K21">
        <v>11.5</v>
      </c>
    </row>
    <row r="22" spans="3:13" x14ac:dyDescent="0.2">
      <c r="C22" t="s">
        <v>294</v>
      </c>
      <c r="E22">
        <v>50</v>
      </c>
      <c r="I22" t="s">
        <v>263</v>
      </c>
      <c r="J22" t="s">
        <v>256</v>
      </c>
      <c r="K22">
        <v>1</v>
      </c>
    </row>
    <row r="23" spans="3:13" x14ac:dyDescent="0.2">
      <c r="C23" t="s">
        <v>295</v>
      </c>
      <c r="E23">
        <f>+(E4+E5)*2+10*2-E24</f>
        <v>104</v>
      </c>
    </row>
    <row r="24" spans="3:13" x14ac:dyDescent="0.2">
      <c r="C24" t="s">
        <v>296</v>
      </c>
      <c r="E24">
        <f>+K5*2+2</f>
        <v>26</v>
      </c>
      <c r="J24" t="s">
        <v>254</v>
      </c>
    </row>
    <row r="25" spans="3:13" x14ac:dyDescent="0.2">
      <c r="C25" t="s">
        <v>330</v>
      </c>
      <c r="E25">
        <v>100</v>
      </c>
      <c r="J25" t="s">
        <v>250</v>
      </c>
      <c r="K25">
        <v>6</v>
      </c>
      <c r="L25" t="s">
        <v>42</v>
      </c>
      <c r="M25">
        <f>+K25</f>
        <v>6</v>
      </c>
    </row>
    <row r="26" spans="3:13" x14ac:dyDescent="0.2">
      <c r="C26" t="s">
        <v>297</v>
      </c>
      <c r="E26">
        <v>2</v>
      </c>
      <c r="J26" t="s">
        <v>252</v>
      </c>
      <c r="K26">
        <v>48.1</v>
      </c>
      <c r="L26" t="s">
        <v>25</v>
      </c>
    </row>
    <row r="27" spans="3:13" x14ac:dyDescent="0.2">
      <c r="C27" t="s">
        <v>298</v>
      </c>
      <c r="E27">
        <v>4</v>
      </c>
      <c r="J27" t="s">
        <v>251</v>
      </c>
      <c r="K27">
        <v>18.2</v>
      </c>
      <c r="L27" t="s">
        <v>266</v>
      </c>
    </row>
    <row r="28" spans="3:13" x14ac:dyDescent="0.2">
      <c r="C28" t="s">
        <v>310</v>
      </c>
      <c r="E28">
        <v>1</v>
      </c>
      <c r="I28" t="s">
        <v>267</v>
      </c>
      <c r="J28" t="s">
        <v>255</v>
      </c>
      <c r="K28">
        <v>7</v>
      </c>
    </row>
    <row r="29" spans="3:13" x14ac:dyDescent="0.2">
      <c r="C29" t="s">
        <v>311</v>
      </c>
      <c r="E29">
        <v>1</v>
      </c>
      <c r="I29" t="s">
        <v>268</v>
      </c>
      <c r="J29" t="s">
        <v>259</v>
      </c>
      <c r="K29">
        <v>7</v>
      </c>
    </row>
    <row r="30" spans="3:13" x14ac:dyDescent="0.2">
      <c r="C30" t="s">
        <v>299</v>
      </c>
      <c r="E30">
        <f>1+1+1+2</f>
        <v>5</v>
      </c>
    </row>
    <row r="31" spans="3:13" x14ac:dyDescent="0.2">
      <c r="C31" t="s">
        <v>300</v>
      </c>
      <c r="E31">
        <v>1</v>
      </c>
      <c r="J31" t="s">
        <v>265</v>
      </c>
    </row>
    <row r="32" spans="3:13" x14ac:dyDescent="0.2">
      <c r="C32" t="s">
        <v>322</v>
      </c>
      <c r="E32">
        <f>2+1+1</f>
        <v>4</v>
      </c>
      <c r="J32" t="s">
        <v>250</v>
      </c>
      <c r="K32">
        <v>3</v>
      </c>
      <c r="L32" t="s">
        <v>42</v>
      </c>
      <c r="M32">
        <f>+K32</f>
        <v>3</v>
      </c>
    </row>
    <row r="33" spans="3:12" x14ac:dyDescent="0.2">
      <c r="C33" t="s">
        <v>315</v>
      </c>
      <c r="E33">
        <v>2</v>
      </c>
      <c r="J33" t="s">
        <v>252</v>
      </c>
      <c r="K33">
        <v>48.1</v>
      </c>
    </row>
    <row r="34" spans="3:12" x14ac:dyDescent="0.2">
      <c r="C34" t="s">
        <v>301</v>
      </c>
      <c r="E34">
        <v>2</v>
      </c>
      <c r="J34" t="s">
        <v>251</v>
      </c>
      <c r="K34">
        <v>48.1</v>
      </c>
      <c r="L34" t="s">
        <v>266</v>
      </c>
    </row>
    <row r="35" spans="3:12" x14ac:dyDescent="0.2">
      <c r="C35" t="s">
        <v>314</v>
      </c>
      <c r="E35">
        <v>1</v>
      </c>
      <c r="I35" t="s">
        <v>270</v>
      </c>
      <c r="J35" t="s">
        <v>259</v>
      </c>
      <c r="K35">
        <v>12</v>
      </c>
      <c r="L35" t="s">
        <v>25</v>
      </c>
    </row>
    <row r="36" spans="3:12" x14ac:dyDescent="0.2">
      <c r="C36" t="s">
        <v>326</v>
      </c>
      <c r="E36">
        <f>+M53</f>
        <v>39</v>
      </c>
      <c r="I36" t="s">
        <v>271</v>
      </c>
      <c r="J36" t="s">
        <v>259</v>
      </c>
      <c r="K36">
        <v>8</v>
      </c>
      <c r="L36" t="s">
        <v>25</v>
      </c>
    </row>
    <row r="37" spans="3:12" x14ac:dyDescent="0.2">
      <c r="C37" t="s">
        <v>327</v>
      </c>
      <c r="E37">
        <f>+N53</f>
        <v>78</v>
      </c>
    </row>
    <row r="38" spans="3:12" x14ac:dyDescent="0.2">
      <c r="C38" t="s">
        <v>302</v>
      </c>
      <c r="E38">
        <f>+O53</f>
        <v>42</v>
      </c>
      <c r="I38" t="s">
        <v>272</v>
      </c>
      <c r="J38" t="s">
        <v>264</v>
      </c>
      <c r="K38">
        <v>17</v>
      </c>
      <c r="L38" t="s">
        <v>25</v>
      </c>
    </row>
    <row r="39" spans="3:12" x14ac:dyDescent="0.2">
      <c r="C39" t="s">
        <v>320</v>
      </c>
      <c r="E39">
        <f>+P53</f>
        <v>3</v>
      </c>
    </row>
    <row r="40" spans="3:12" x14ac:dyDescent="0.2">
      <c r="C40" t="s">
        <v>303</v>
      </c>
      <c r="E40">
        <v>2</v>
      </c>
      <c r="J40" t="s">
        <v>260</v>
      </c>
    </row>
    <row r="41" spans="3:12" x14ac:dyDescent="0.2">
      <c r="C41" t="s">
        <v>304</v>
      </c>
      <c r="E41">
        <v>8</v>
      </c>
      <c r="J41" t="s">
        <v>257</v>
      </c>
      <c r="K41">
        <v>22</v>
      </c>
      <c r="L41" t="s">
        <v>42</v>
      </c>
    </row>
    <row r="42" spans="3:12" x14ac:dyDescent="0.2">
      <c r="C42" t="s">
        <v>305</v>
      </c>
      <c r="E42">
        <f>+K41</f>
        <v>22</v>
      </c>
      <c r="J42" t="s">
        <v>252</v>
      </c>
      <c r="K42">
        <v>55.9</v>
      </c>
      <c r="L42" t="s">
        <v>25</v>
      </c>
    </row>
    <row r="43" spans="3:12" x14ac:dyDescent="0.2">
      <c r="J43" t="s">
        <v>258</v>
      </c>
      <c r="K43">
        <v>55.9</v>
      </c>
      <c r="L43" t="s">
        <v>266</v>
      </c>
    </row>
    <row r="44" spans="3:12" x14ac:dyDescent="0.2">
      <c r="I44" t="s">
        <v>273</v>
      </c>
      <c r="J44" t="s">
        <v>259</v>
      </c>
      <c r="K44">
        <v>20.5</v>
      </c>
    </row>
    <row r="45" spans="3:12" x14ac:dyDescent="0.2">
      <c r="I45" t="s">
        <v>274</v>
      </c>
      <c r="J45" t="s">
        <v>259</v>
      </c>
      <c r="K45">
        <v>22.5</v>
      </c>
    </row>
    <row r="47" spans="3:12" x14ac:dyDescent="0.2">
      <c r="J47" t="s">
        <v>323</v>
      </c>
    </row>
    <row r="48" spans="3:12" x14ac:dyDescent="0.2">
      <c r="J48" t="s">
        <v>250</v>
      </c>
      <c r="K48">
        <f>+K51</f>
        <v>8</v>
      </c>
      <c r="L48" t="s">
        <v>42</v>
      </c>
    </row>
    <row r="49" spans="10:16" x14ac:dyDescent="0.2">
      <c r="J49" t="s">
        <v>252</v>
      </c>
      <c r="K49">
        <f>+K50</f>
        <v>38.4</v>
      </c>
    </row>
    <row r="50" spans="10:16" x14ac:dyDescent="0.2">
      <c r="J50" t="s">
        <v>251</v>
      </c>
      <c r="K50">
        <f>4.8*K51</f>
        <v>38.4</v>
      </c>
      <c r="L50" t="s">
        <v>266</v>
      </c>
    </row>
    <row r="51" spans="10:16" x14ac:dyDescent="0.2">
      <c r="J51" t="s">
        <v>324</v>
      </c>
      <c r="K51">
        <v>8</v>
      </c>
    </row>
    <row r="52" spans="10:16" x14ac:dyDescent="0.2">
      <c r="J52" t="s">
        <v>325</v>
      </c>
      <c r="K52">
        <v>16</v>
      </c>
      <c r="M52">
        <f>+K51</f>
        <v>8</v>
      </c>
      <c r="N52">
        <f>+K52</f>
        <v>16</v>
      </c>
    </row>
    <row r="53" spans="10:16" x14ac:dyDescent="0.2">
      <c r="M53">
        <f>SUM(M4:M52)</f>
        <v>39</v>
      </c>
      <c r="N53">
        <f t="shared" ref="N53:P53" si="0">SUM(N4:N52)</f>
        <v>78</v>
      </c>
      <c r="O53">
        <f t="shared" si="0"/>
        <v>42</v>
      </c>
      <c r="P53">
        <f t="shared" si="0"/>
        <v>3</v>
      </c>
    </row>
  </sheetData>
  <pageMargins left="0.7" right="0.7" top="0.75" bottom="0.75" header="0.3" footer="0.3"/>
  <pageSetup paperSize="9" scale="3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C9D0F-639C-2149-B78F-9D2B17E9E19C}">
  <dimension ref="B3:E83"/>
  <sheetViews>
    <sheetView workbookViewId="0">
      <selection activeCell="B3" sqref="B3"/>
    </sheetView>
  </sheetViews>
  <sheetFormatPr baseColWidth="10" defaultRowHeight="16" x14ac:dyDescent="0.2"/>
  <cols>
    <col min="2" max="2" width="39.5" customWidth="1"/>
    <col min="3" max="3" width="16.33203125" bestFit="1" customWidth="1"/>
    <col min="4" max="4" width="10.33203125" bestFit="1" customWidth="1"/>
    <col min="5" max="5" width="13" bestFit="1" customWidth="1"/>
  </cols>
  <sheetData>
    <row r="3" spans="2:5" ht="21" x14ac:dyDescent="0.25">
      <c r="B3" s="122" t="s">
        <v>416</v>
      </c>
    </row>
    <row r="4" spans="2:5" ht="21" x14ac:dyDescent="0.25">
      <c r="B4" s="122" t="s">
        <v>332</v>
      </c>
      <c r="C4" s="122" t="s">
        <v>332</v>
      </c>
      <c r="D4" s="122" t="s">
        <v>333</v>
      </c>
      <c r="E4" s="122" t="s">
        <v>334</v>
      </c>
    </row>
    <row r="5" spans="2:5" ht="21" x14ac:dyDescent="0.25">
      <c r="B5" s="122" t="s">
        <v>415</v>
      </c>
    </row>
    <row r="6" spans="2:5" x14ac:dyDescent="0.2">
      <c r="B6" t="s">
        <v>335</v>
      </c>
      <c r="C6" t="s">
        <v>336</v>
      </c>
      <c r="D6" t="s">
        <v>337</v>
      </c>
      <c r="E6">
        <v>1.5</v>
      </c>
    </row>
    <row r="7" spans="2:5" x14ac:dyDescent="0.2">
      <c r="B7" t="s">
        <v>335</v>
      </c>
      <c r="C7" t="s">
        <v>338</v>
      </c>
      <c r="D7" t="s">
        <v>337</v>
      </c>
      <c r="E7">
        <v>5</v>
      </c>
    </row>
    <row r="8" spans="2:5" x14ac:dyDescent="0.2">
      <c r="B8" t="s">
        <v>335</v>
      </c>
      <c r="C8" t="s">
        <v>339</v>
      </c>
      <c r="D8" t="s">
        <v>337</v>
      </c>
      <c r="E8">
        <v>4</v>
      </c>
    </row>
    <row r="9" spans="2:5" x14ac:dyDescent="0.2">
      <c r="B9" t="s">
        <v>340</v>
      </c>
      <c r="C9" t="s">
        <v>341</v>
      </c>
      <c r="D9" t="s">
        <v>342</v>
      </c>
      <c r="E9">
        <v>1</v>
      </c>
    </row>
    <row r="10" spans="2:5" x14ac:dyDescent="0.2">
      <c r="B10" t="s">
        <v>340</v>
      </c>
      <c r="C10" t="s">
        <v>343</v>
      </c>
      <c r="D10" t="s">
        <v>342</v>
      </c>
      <c r="E10">
        <v>2</v>
      </c>
    </row>
    <row r="11" spans="2:5" x14ac:dyDescent="0.2">
      <c r="B11" t="s">
        <v>340</v>
      </c>
      <c r="C11" t="s">
        <v>344</v>
      </c>
      <c r="D11" t="s">
        <v>342</v>
      </c>
      <c r="E11">
        <v>2</v>
      </c>
    </row>
    <row r="12" spans="2:5" x14ac:dyDescent="0.2">
      <c r="B12" t="s">
        <v>340</v>
      </c>
      <c r="C12" t="s">
        <v>345</v>
      </c>
      <c r="D12" t="s">
        <v>342</v>
      </c>
      <c r="E12">
        <v>1</v>
      </c>
    </row>
    <row r="13" spans="2:5" x14ac:dyDescent="0.2">
      <c r="B13" t="s">
        <v>347</v>
      </c>
      <c r="C13" t="s">
        <v>348</v>
      </c>
      <c r="D13" t="s">
        <v>342</v>
      </c>
      <c r="E13">
        <v>1</v>
      </c>
    </row>
    <row r="14" spans="2:5" x14ac:dyDescent="0.2">
      <c r="B14" t="s">
        <v>351</v>
      </c>
      <c r="C14" t="s">
        <v>350</v>
      </c>
      <c r="D14" t="s">
        <v>342</v>
      </c>
      <c r="E14">
        <v>1</v>
      </c>
    </row>
    <row r="15" spans="2:5" x14ac:dyDescent="0.2">
      <c r="B15" t="s">
        <v>352</v>
      </c>
      <c r="C15" t="s">
        <v>353</v>
      </c>
      <c r="D15" t="s">
        <v>342</v>
      </c>
      <c r="E15">
        <v>1</v>
      </c>
    </row>
    <row r="16" spans="2:5" x14ac:dyDescent="0.2">
      <c r="B16" t="s">
        <v>354</v>
      </c>
      <c r="C16" t="s">
        <v>355</v>
      </c>
      <c r="D16" t="s">
        <v>342</v>
      </c>
      <c r="E16">
        <v>1</v>
      </c>
    </row>
    <row r="17" spans="2:5" x14ac:dyDescent="0.2">
      <c r="B17" t="s">
        <v>356</v>
      </c>
      <c r="C17" t="s">
        <v>339</v>
      </c>
      <c r="D17" t="s">
        <v>342</v>
      </c>
      <c r="E17">
        <v>1</v>
      </c>
    </row>
    <row r="18" spans="2:5" x14ac:dyDescent="0.2">
      <c r="B18" t="s">
        <v>340</v>
      </c>
      <c r="C18" t="s">
        <v>357</v>
      </c>
      <c r="D18" t="s">
        <v>342</v>
      </c>
      <c r="E18">
        <v>2</v>
      </c>
    </row>
    <row r="19" spans="2:5" x14ac:dyDescent="0.2">
      <c r="B19" t="s">
        <v>346</v>
      </c>
      <c r="C19" t="s">
        <v>357</v>
      </c>
      <c r="D19" t="s">
        <v>342</v>
      </c>
      <c r="E19">
        <v>6</v>
      </c>
    </row>
    <row r="20" spans="2:5" x14ac:dyDescent="0.2">
      <c r="B20" t="s">
        <v>346</v>
      </c>
      <c r="C20" t="s">
        <v>348</v>
      </c>
      <c r="D20" t="s">
        <v>342</v>
      </c>
      <c r="E20">
        <v>2</v>
      </c>
    </row>
    <row r="21" spans="2:5" x14ac:dyDescent="0.2">
      <c r="B21" t="s">
        <v>349</v>
      </c>
      <c r="C21" t="s">
        <v>358</v>
      </c>
      <c r="D21" t="s">
        <v>342</v>
      </c>
      <c r="E21">
        <v>1</v>
      </c>
    </row>
    <row r="22" spans="2:5" x14ac:dyDescent="0.2">
      <c r="B22" t="s">
        <v>351</v>
      </c>
      <c r="C22" t="s">
        <v>359</v>
      </c>
      <c r="D22" t="s">
        <v>342</v>
      </c>
      <c r="E22">
        <v>1</v>
      </c>
    </row>
    <row r="23" spans="2:5" x14ac:dyDescent="0.2">
      <c r="B23" t="s">
        <v>360</v>
      </c>
      <c r="C23" t="s">
        <v>361</v>
      </c>
      <c r="D23" t="s">
        <v>342</v>
      </c>
      <c r="E23">
        <v>1</v>
      </c>
    </row>
    <row r="24" spans="2:5" x14ac:dyDescent="0.2">
      <c r="B24" t="s">
        <v>356</v>
      </c>
      <c r="C24" t="s">
        <v>336</v>
      </c>
      <c r="D24" t="s">
        <v>342</v>
      </c>
      <c r="E24">
        <v>1</v>
      </c>
    </row>
    <row r="25" spans="2:5" x14ac:dyDescent="0.2">
      <c r="B25" t="s">
        <v>356</v>
      </c>
      <c r="C25" t="s">
        <v>338</v>
      </c>
      <c r="D25" t="s">
        <v>342</v>
      </c>
      <c r="E25">
        <v>2</v>
      </c>
    </row>
    <row r="26" spans="2:5" x14ac:dyDescent="0.2">
      <c r="B26" t="s">
        <v>362</v>
      </c>
      <c r="C26" t="s">
        <v>363</v>
      </c>
      <c r="D26" t="s">
        <v>342</v>
      </c>
      <c r="E26">
        <v>1</v>
      </c>
    </row>
    <row r="27" spans="2:5" ht="34" x14ac:dyDescent="0.2">
      <c r="B27" s="120" t="s">
        <v>368</v>
      </c>
      <c r="C27" t="s">
        <v>364</v>
      </c>
      <c r="D27" t="s">
        <v>342</v>
      </c>
      <c r="E27">
        <v>1</v>
      </c>
    </row>
    <row r="28" spans="2:5" x14ac:dyDescent="0.2">
      <c r="B28" t="s">
        <v>365</v>
      </c>
      <c r="D28" t="s">
        <v>342</v>
      </c>
      <c r="E28">
        <v>6</v>
      </c>
    </row>
    <row r="29" spans="2:5" x14ac:dyDescent="0.2">
      <c r="B29" t="s">
        <v>366</v>
      </c>
      <c r="D29" t="s">
        <v>342</v>
      </c>
      <c r="E29">
        <v>6</v>
      </c>
    </row>
    <row r="30" spans="2:5" ht="21" x14ac:dyDescent="0.25">
      <c r="B30" s="122" t="s">
        <v>414</v>
      </c>
    </row>
    <row r="31" spans="2:5" x14ac:dyDescent="0.2">
      <c r="B31" t="s">
        <v>373</v>
      </c>
      <c r="C31" t="s">
        <v>374</v>
      </c>
      <c r="D31" t="s">
        <v>337</v>
      </c>
      <c r="E31">
        <v>4</v>
      </c>
    </row>
    <row r="32" spans="2:5" x14ac:dyDescent="0.2">
      <c r="B32" t="s">
        <v>373</v>
      </c>
      <c r="C32" t="s">
        <v>375</v>
      </c>
      <c r="D32" t="s">
        <v>337</v>
      </c>
      <c r="E32">
        <v>13.8</v>
      </c>
    </row>
    <row r="33" spans="2:5" x14ac:dyDescent="0.2">
      <c r="B33" t="s">
        <v>373</v>
      </c>
      <c r="C33" t="s">
        <v>372</v>
      </c>
      <c r="D33" t="s">
        <v>337</v>
      </c>
      <c r="E33">
        <v>23.970000000000002</v>
      </c>
    </row>
    <row r="34" spans="2:5" x14ac:dyDescent="0.2">
      <c r="B34" t="s">
        <v>373</v>
      </c>
      <c r="C34" t="s">
        <v>370</v>
      </c>
      <c r="D34" t="s">
        <v>337</v>
      </c>
      <c r="E34">
        <v>5</v>
      </c>
    </row>
    <row r="35" spans="2:5" x14ac:dyDescent="0.2">
      <c r="B35" t="s">
        <v>376</v>
      </c>
      <c r="C35" t="s">
        <v>374</v>
      </c>
      <c r="D35" t="s">
        <v>337</v>
      </c>
      <c r="E35">
        <v>2</v>
      </c>
    </row>
    <row r="36" spans="2:5" x14ac:dyDescent="0.2">
      <c r="B36" t="s">
        <v>376</v>
      </c>
      <c r="C36" t="s">
        <v>375</v>
      </c>
      <c r="D36" t="s">
        <v>337</v>
      </c>
      <c r="E36">
        <v>15.8</v>
      </c>
    </row>
    <row r="37" spans="2:5" x14ac:dyDescent="0.2">
      <c r="B37" t="s">
        <v>377</v>
      </c>
      <c r="C37" t="s">
        <v>374</v>
      </c>
      <c r="D37" t="s">
        <v>342</v>
      </c>
      <c r="E37">
        <v>8</v>
      </c>
    </row>
    <row r="38" spans="2:5" x14ac:dyDescent="0.2">
      <c r="B38" t="s">
        <v>377</v>
      </c>
      <c r="C38" t="s">
        <v>372</v>
      </c>
      <c r="D38" t="s">
        <v>342</v>
      </c>
      <c r="E38">
        <v>2</v>
      </c>
    </row>
    <row r="39" spans="2:5" x14ac:dyDescent="0.2">
      <c r="B39" t="s">
        <v>377</v>
      </c>
      <c r="C39" t="s">
        <v>370</v>
      </c>
      <c r="D39" t="s">
        <v>342</v>
      </c>
      <c r="E39">
        <v>5</v>
      </c>
    </row>
    <row r="40" spans="2:5" x14ac:dyDescent="0.2">
      <c r="B40" t="s">
        <v>377</v>
      </c>
      <c r="C40" t="s">
        <v>378</v>
      </c>
      <c r="D40" t="s">
        <v>342</v>
      </c>
      <c r="E40">
        <v>6</v>
      </c>
    </row>
    <row r="41" spans="2:5" x14ac:dyDescent="0.2">
      <c r="B41" t="s">
        <v>379</v>
      </c>
      <c r="C41" t="s">
        <v>374</v>
      </c>
      <c r="D41" t="s">
        <v>342</v>
      </c>
      <c r="E41">
        <v>7</v>
      </c>
    </row>
    <row r="42" spans="2:5" x14ac:dyDescent="0.2">
      <c r="B42" t="s">
        <v>379</v>
      </c>
      <c r="C42" t="s">
        <v>370</v>
      </c>
      <c r="D42" t="s">
        <v>342</v>
      </c>
      <c r="E42">
        <v>4</v>
      </c>
    </row>
    <row r="43" spans="2:5" x14ac:dyDescent="0.2">
      <c r="B43" t="s">
        <v>379</v>
      </c>
      <c r="C43" t="s">
        <v>378</v>
      </c>
      <c r="D43" t="s">
        <v>342</v>
      </c>
      <c r="E43">
        <v>3</v>
      </c>
    </row>
    <row r="44" spans="2:5" x14ac:dyDescent="0.2">
      <c r="B44" t="s">
        <v>380</v>
      </c>
      <c r="C44" t="s">
        <v>374</v>
      </c>
      <c r="D44" t="s">
        <v>342</v>
      </c>
      <c r="E44">
        <v>6</v>
      </c>
    </row>
    <row r="45" spans="2:5" x14ac:dyDescent="0.2">
      <c r="B45" t="s">
        <v>380</v>
      </c>
      <c r="C45" t="s">
        <v>375</v>
      </c>
      <c r="D45" t="s">
        <v>342</v>
      </c>
      <c r="E45">
        <v>29.6</v>
      </c>
    </row>
    <row r="46" spans="2:5" x14ac:dyDescent="0.2">
      <c r="B46" t="s">
        <v>380</v>
      </c>
      <c r="C46" t="s">
        <v>372</v>
      </c>
      <c r="D46" t="s">
        <v>342</v>
      </c>
      <c r="E46">
        <v>5.9925000000000006</v>
      </c>
    </row>
    <row r="47" spans="2:5" x14ac:dyDescent="0.2">
      <c r="B47" t="s">
        <v>380</v>
      </c>
      <c r="C47" t="s">
        <v>370</v>
      </c>
      <c r="D47" t="s">
        <v>342</v>
      </c>
      <c r="E47">
        <v>1</v>
      </c>
    </row>
    <row r="48" spans="2:5" x14ac:dyDescent="0.2">
      <c r="B48" t="s">
        <v>381</v>
      </c>
      <c r="C48" t="s">
        <v>371</v>
      </c>
      <c r="D48" t="s">
        <v>342</v>
      </c>
      <c r="E48">
        <v>1</v>
      </c>
    </row>
    <row r="49" spans="2:5" x14ac:dyDescent="0.2">
      <c r="B49" t="s">
        <v>381</v>
      </c>
      <c r="C49" t="s">
        <v>370</v>
      </c>
      <c r="D49" t="s">
        <v>342</v>
      </c>
      <c r="E49">
        <v>4</v>
      </c>
    </row>
    <row r="50" spans="2:5" x14ac:dyDescent="0.2">
      <c r="B50" t="s">
        <v>382</v>
      </c>
      <c r="C50" t="s">
        <v>374</v>
      </c>
      <c r="D50" t="s">
        <v>342</v>
      </c>
      <c r="E50">
        <v>4</v>
      </c>
    </row>
    <row r="51" spans="2:5" x14ac:dyDescent="0.2">
      <c r="B51" t="s">
        <v>383</v>
      </c>
      <c r="C51" t="s">
        <v>384</v>
      </c>
      <c r="D51" t="s">
        <v>342</v>
      </c>
      <c r="E51">
        <v>2</v>
      </c>
    </row>
    <row r="52" spans="2:5" x14ac:dyDescent="0.2">
      <c r="B52" t="s">
        <v>385</v>
      </c>
      <c r="C52" t="s">
        <v>386</v>
      </c>
      <c r="D52" t="s">
        <v>342</v>
      </c>
      <c r="E52">
        <v>2</v>
      </c>
    </row>
    <row r="53" spans="2:5" x14ac:dyDescent="0.2">
      <c r="B53" t="s">
        <v>387</v>
      </c>
      <c r="C53" t="s">
        <v>388</v>
      </c>
      <c r="D53" t="s">
        <v>342</v>
      </c>
      <c r="E53">
        <v>1</v>
      </c>
    </row>
    <row r="54" spans="2:5" x14ac:dyDescent="0.2">
      <c r="B54" t="s">
        <v>389</v>
      </c>
      <c r="C54" t="s">
        <v>374</v>
      </c>
      <c r="D54" t="s">
        <v>342</v>
      </c>
      <c r="E54">
        <v>10</v>
      </c>
    </row>
    <row r="55" spans="2:5" x14ac:dyDescent="0.2">
      <c r="B55" t="s">
        <v>390</v>
      </c>
      <c r="C55" t="s">
        <v>391</v>
      </c>
      <c r="D55" t="s">
        <v>342</v>
      </c>
      <c r="E55">
        <v>1</v>
      </c>
    </row>
    <row r="56" spans="2:5" x14ac:dyDescent="0.2">
      <c r="B56" t="s">
        <v>392</v>
      </c>
      <c r="C56" t="s">
        <v>374</v>
      </c>
      <c r="D56" t="s">
        <v>342</v>
      </c>
      <c r="E56">
        <v>1</v>
      </c>
    </row>
    <row r="57" spans="2:5" x14ac:dyDescent="0.2">
      <c r="B57" t="s">
        <v>392</v>
      </c>
      <c r="C57" t="s">
        <v>375</v>
      </c>
      <c r="D57" t="s">
        <v>342</v>
      </c>
      <c r="E57">
        <v>1</v>
      </c>
    </row>
    <row r="58" spans="2:5" x14ac:dyDescent="0.2">
      <c r="B58" t="s">
        <v>369</v>
      </c>
      <c r="C58" t="s">
        <v>374</v>
      </c>
      <c r="D58" t="s">
        <v>342</v>
      </c>
      <c r="E58">
        <v>1</v>
      </c>
    </row>
    <row r="59" spans="2:5" x14ac:dyDescent="0.2">
      <c r="B59" t="s">
        <v>369</v>
      </c>
      <c r="C59" t="s">
        <v>372</v>
      </c>
      <c r="D59" t="s">
        <v>342</v>
      </c>
      <c r="E59">
        <v>3</v>
      </c>
    </row>
    <row r="60" spans="2:5" x14ac:dyDescent="0.2">
      <c r="B60" t="s">
        <v>369</v>
      </c>
      <c r="C60" t="s">
        <v>370</v>
      </c>
      <c r="D60" t="s">
        <v>342</v>
      </c>
      <c r="E60">
        <v>2</v>
      </c>
    </row>
    <row r="61" spans="2:5" x14ac:dyDescent="0.2">
      <c r="B61" t="s">
        <v>369</v>
      </c>
      <c r="C61" t="s">
        <v>378</v>
      </c>
      <c r="D61" t="s">
        <v>342</v>
      </c>
      <c r="E61">
        <v>3</v>
      </c>
    </row>
    <row r="62" spans="2:5" x14ac:dyDescent="0.2">
      <c r="B62" t="s">
        <v>393</v>
      </c>
      <c r="C62" t="s">
        <v>374</v>
      </c>
      <c r="D62" t="s">
        <v>342</v>
      </c>
      <c r="E62">
        <v>9</v>
      </c>
    </row>
    <row r="63" spans="2:5" x14ac:dyDescent="0.2">
      <c r="B63" t="s">
        <v>394</v>
      </c>
      <c r="C63" t="s">
        <v>374</v>
      </c>
      <c r="D63" t="s">
        <v>342</v>
      </c>
      <c r="E63">
        <v>3</v>
      </c>
    </row>
    <row r="64" spans="2:5" x14ac:dyDescent="0.2">
      <c r="B64" t="s">
        <v>395</v>
      </c>
      <c r="E64">
        <v>3</v>
      </c>
    </row>
    <row r="65" spans="2:5" x14ac:dyDescent="0.2">
      <c r="B65" t="s">
        <v>396</v>
      </c>
      <c r="E65">
        <v>2</v>
      </c>
    </row>
    <row r="66" spans="2:5" x14ac:dyDescent="0.2">
      <c r="B66" t="s">
        <v>365</v>
      </c>
      <c r="E66">
        <v>6</v>
      </c>
    </row>
    <row r="67" spans="2:5" x14ac:dyDescent="0.2">
      <c r="B67" t="s">
        <v>367</v>
      </c>
      <c r="E67">
        <v>4</v>
      </c>
    </row>
    <row r="68" spans="2:5" x14ac:dyDescent="0.2">
      <c r="B68" t="s">
        <v>397</v>
      </c>
      <c r="E68">
        <v>2</v>
      </c>
    </row>
    <row r="69" spans="2:5" x14ac:dyDescent="0.2">
      <c r="B69" t="s">
        <v>398</v>
      </c>
      <c r="E69">
        <v>1</v>
      </c>
    </row>
    <row r="70" spans="2:5" x14ac:dyDescent="0.2">
      <c r="B70" t="s">
        <v>399</v>
      </c>
      <c r="E70">
        <v>1</v>
      </c>
    </row>
    <row r="71" spans="2:5" ht="21" x14ac:dyDescent="0.25">
      <c r="B71" s="122" t="s">
        <v>413</v>
      </c>
    </row>
    <row r="72" spans="2:5" x14ac:dyDescent="0.2">
      <c r="B72" t="s">
        <v>400</v>
      </c>
      <c r="D72" t="s">
        <v>168</v>
      </c>
      <c r="E72">
        <v>0</v>
      </c>
    </row>
    <row r="73" spans="2:5" x14ac:dyDescent="0.2">
      <c r="B73" t="s">
        <v>401</v>
      </c>
      <c r="D73" t="s">
        <v>42</v>
      </c>
      <c r="E73">
        <v>4</v>
      </c>
    </row>
    <row r="74" spans="2:5" x14ac:dyDescent="0.2">
      <c r="B74" t="s">
        <v>402</v>
      </c>
      <c r="D74" t="s">
        <v>42</v>
      </c>
      <c r="E74">
        <v>2</v>
      </c>
    </row>
    <row r="75" spans="2:5" x14ac:dyDescent="0.2">
      <c r="B75" t="s">
        <v>403</v>
      </c>
      <c r="D75" t="s">
        <v>42</v>
      </c>
      <c r="E75">
        <v>5</v>
      </c>
    </row>
    <row r="76" spans="2:5" x14ac:dyDescent="0.2">
      <c r="B76" t="s">
        <v>404</v>
      </c>
      <c r="D76" t="s">
        <v>42</v>
      </c>
      <c r="E76">
        <v>1</v>
      </c>
    </row>
    <row r="77" spans="2:5" x14ac:dyDescent="0.2">
      <c r="B77" t="s">
        <v>405</v>
      </c>
      <c r="D77" t="s">
        <v>42</v>
      </c>
      <c r="E77">
        <v>1</v>
      </c>
    </row>
    <row r="78" spans="2:5" x14ac:dyDescent="0.2">
      <c r="B78" t="s">
        <v>406</v>
      </c>
      <c r="D78" t="s">
        <v>42</v>
      </c>
      <c r="E78">
        <v>1</v>
      </c>
    </row>
    <row r="79" spans="2:5" x14ac:dyDescent="0.2">
      <c r="B79" t="s">
        <v>407</v>
      </c>
      <c r="D79" t="s">
        <v>42</v>
      </c>
      <c r="E79">
        <v>1</v>
      </c>
    </row>
    <row r="80" spans="2:5" x14ac:dyDescent="0.2">
      <c r="B80" t="s">
        <v>408</v>
      </c>
      <c r="D80" t="s">
        <v>42</v>
      </c>
      <c r="E80">
        <v>1</v>
      </c>
    </row>
    <row r="81" spans="2:5" x14ac:dyDescent="0.2">
      <c r="B81" t="s">
        <v>409</v>
      </c>
      <c r="D81" t="s">
        <v>141</v>
      </c>
      <c r="E81">
        <v>1</v>
      </c>
    </row>
    <row r="82" spans="2:5" x14ac:dyDescent="0.2">
      <c r="B82" t="s">
        <v>410</v>
      </c>
      <c r="D82" t="s">
        <v>42</v>
      </c>
      <c r="E82">
        <v>12</v>
      </c>
    </row>
    <row r="83" spans="2:5" x14ac:dyDescent="0.2">
      <c r="B83" t="s">
        <v>411</v>
      </c>
      <c r="D83" t="s">
        <v>412</v>
      </c>
      <c r="E83">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7204-9181-3341-8E96-6F69D46D6083}">
  <dimension ref="B1:K77"/>
  <sheetViews>
    <sheetView tabSelected="1" topLeftCell="A20" zoomScale="88" zoomScaleNormal="88" workbookViewId="0">
      <selection activeCell="F59" sqref="F59"/>
    </sheetView>
  </sheetViews>
  <sheetFormatPr baseColWidth="10" defaultRowHeight="16" x14ac:dyDescent="0.2"/>
  <cols>
    <col min="2" max="2" width="72.5" customWidth="1"/>
    <col min="5" max="5" width="17" bestFit="1" customWidth="1"/>
    <col min="6" max="6" width="16.6640625" bestFit="1" customWidth="1"/>
    <col min="7" max="7" width="15.1640625" customWidth="1"/>
    <col min="9" max="10" width="17" bestFit="1" customWidth="1"/>
  </cols>
  <sheetData>
    <row r="1" spans="2:11" ht="24" x14ac:dyDescent="0.3">
      <c r="B1" s="1"/>
      <c r="C1" s="1"/>
      <c r="D1" s="2" t="s">
        <v>0</v>
      </c>
      <c r="E1" s="3">
        <v>1550</v>
      </c>
      <c r="F1" s="148">
        <v>46295</v>
      </c>
    </row>
    <row r="2" spans="2:11" ht="17" thickBot="1" x14ac:dyDescent="0.25">
      <c r="B2" s="1"/>
      <c r="C2" s="1"/>
      <c r="D2" s="2" t="s">
        <v>1</v>
      </c>
      <c r="E2" s="3">
        <v>1550</v>
      </c>
    </row>
    <row r="3" spans="2:11" ht="17" thickBot="1" x14ac:dyDescent="0.25">
      <c r="D3" s="154" t="s">
        <v>2</v>
      </c>
      <c r="E3" s="155"/>
      <c r="F3" s="155"/>
      <c r="G3" s="155"/>
    </row>
    <row r="4" spans="2:11" x14ac:dyDescent="0.2">
      <c r="C4" s="4"/>
      <c r="D4" s="4"/>
      <c r="E4" s="4"/>
      <c r="F4" s="4"/>
      <c r="G4" s="4"/>
    </row>
    <row r="5" spans="2:11" x14ac:dyDescent="0.2">
      <c r="B5" t="s">
        <v>3</v>
      </c>
      <c r="C5" s="5" t="s">
        <v>4</v>
      </c>
      <c r="D5" s="5" t="s">
        <v>5</v>
      </c>
      <c r="E5" s="5" t="s">
        <v>6</v>
      </c>
      <c r="F5" s="5" t="s">
        <v>7</v>
      </c>
      <c r="G5" s="5" t="s">
        <v>8</v>
      </c>
      <c r="K5" t="s">
        <v>451</v>
      </c>
    </row>
    <row r="6" spans="2:11" x14ac:dyDescent="0.2">
      <c r="B6" t="s">
        <v>11</v>
      </c>
      <c r="C6" s="6" t="s">
        <v>10</v>
      </c>
      <c r="D6" s="13">
        <v>4.68</v>
      </c>
      <c r="E6" s="12">
        <f>+Aux!F25</f>
        <v>315615.69165454549</v>
      </c>
      <c r="F6" s="12">
        <f t="shared" ref="F6:F55" si="0">+E6*D6</f>
        <v>1477081.4369432728</v>
      </c>
      <c r="G6" s="7">
        <f t="shared" ref="G6:G37" si="1">+F6/$F$56</f>
        <v>1.7928425795730573E-2</v>
      </c>
      <c r="I6" s="145">
        <f>+F6</f>
        <v>1477081.4369432728</v>
      </c>
      <c r="K6" s="147">
        <f>+I6/$I$56</f>
        <v>2.4756942041888521E-2</v>
      </c>
    </row>
    <row r="7" spans="2:11" x14ac:dyDescent="0.2">
      <c r="B7" t="s">
        <v>203</v>
      </c>
      <c r="C7" s="6" t="s">
        <v>141</v>
      </c>
      <c r="D7" s="6">
        <v>1.5</v>
      </c>
      <c r="E7" s="12">
        <v>33000</v>
      </c>
      <c r="F7" s="12">
        <f t="shared" si="0"/>
        <v>49500</v>
      </c>
      <c r="G7" s="7">
        <f t="shared" si="1"/>
        <v>6.0081797434622156E-4</v>
      </c>
      <c r="I7" s="145">
        <f t="shared" ref="I7:I41" si="2">+F7</f>
        <v>49500</v>
      </c>
      <c r="K7" s="147">
        <f t="shared" ref="K7:K55" si="3">+I7/$I$56</f>
        <v>8.2965542753655618E-4</v>
      </c>
    </row>
    <row r="8" spans="2:11" x14ac:dyDescent="0.2">
      <c r="B8" t="s">
        <v>427</v>
      </c>
      <c r="C8" s="6" t="s">
        <v>14</v>
      </c>
      <c r="D8" s="133">
        <f>+Aux!A33</f>
        <v>62.7</v>
      </c>
      <c r="E8" s="12">
        <f>+Aux!E39</f>
        <v>104207.40000000001</v>
      </c>
      <c r="F8" s="12">
        <f t="shared" ref="F8:F9" si="4">+E8*D8</f>
        <v>6533803.9800000004</v>
      </c>
      <c r="G8" s="7">
        <f t="shared" si="1"/>
        <v>7.9305593374522837E-2</v>
      </c>
      <c r="I8" s="145">
        <f t="shared" si="2"/>
        <v>6533803.9800000004</v>
      </c>
      <c r="K8" s="147">
        <f t="shared" si="3"/>
        <v>0.10951123099933238</v>
      </c>
    </row>
    <row r="9" spans="2:11" x14ac:dyDescent="0.2">
      <c r="B9" t="s">
        <v>207</v>
      </c>
      <c r="C9" s="6" t="s">
        <v>14</v>
      </c>
      <c r="D9" s="6">
        <f>+Aux!A33</f>
        <v>62.7</v>
      </c>
      <c r="E9" s="12">
        <f>+Aux!E55</f>
        <v>12504.888000000001</v>
      </c>
      <c r="F9" s="12">
        <f t="shared" si="4"/>
        <v>784056.4776000001</v>
      </c>
      <c r="G9" s="7">
        <f t="shared" si="1"/>
        <v>9.5166712049427407E-3</v>
      </c>
      <c r="I9" s="145">
        <f t="shared" si="2"/>
        <v>784056.4776000001</v>
      </c>
      <c r="K9" s="147">
        <f t="shared" si="3"/>
        <v>1.3141347719919887E-2</v>
      </c>
    </row>
    <row r="10" spans="2:11" x14ac:dyDescent="0.2">
      <c r="B10" t="s">
        <v>428</v>
      </c>
      <c r="C10" s="6" t="s">
        <v>14</v>
      </c>
      <c r="D10" s="13">
        <f>+Aux!A49</f>
        <v>26</v>
      </c>
      <c r="E10" s="12">
        <f>+Aux!E55</f>
        <v>12504.888000000001</v>
      </c>
      <c r="F10" s="12">
        <f t="shared" si="0"/>
        <v>325127.08800000005</v>
      </c>
      <c r="G10" s="7">
        <f t="shared" si="1"/>
        <v>3.9463070387322375E-3</v>
      </c>
      <c r="I10" s="145">
        <f t="shared" si="2"/>
        <v>325127.08800000005</v>
      </c>
      <c r="K10" s="147">
        <f t="shared" si="3"/>
        <v>5.4493626908758705E-3</v>
      </c>
    </row>
    <row r="11" spans="2:11" x14ac:dyDescent="0.2">
      <c r="B11" t="s">
        <v>15</v>
      </c>
      <c r="C11" s="6" t="s">
        <v>14</v>
      </c>
      <c r="D11" s="13">
        <f>+D10+D9</f>
        <v>88.7</v>
      </c>
      <c r="E11" s="12">
        <f>+Aux!E45</f>
        <v>3271.8955500000002</v>
      </c>
      <c r="F11" s="12">
        <f t="shared" si="0"/>
        <v>290217.13528500003</v>
      </c>
      <c r="G11" s="7">
        <f t="shared" si="1"/>
        <v>3.5225792190403445E-3</v>
      </c>
      <c r="I11" s="145">
        <f t="shared" si="2"/>
        <v>290217.13528500003</v>
      </c>
      <c r="K11" s="147">
        <f t="shared" si="3"/>
        <v>4.8642468980466926E-3</v>
      </c>
    </row>
    <row r="12" spans="2:11" x14ac:dyDescent="0.2">
      <c r="B12" s="4" t="s">
        <v>16</v>
      </c>
      <c r="C12" s="6"/>
      <c r="D12" s="6"/>
      <c r="E12" s="12"/>
      <c r="F12" s="12">
        <f t="shared" si="0"/>
        <v>0</v>
      </c>
      <c r="G12" s="7">
        <f t="shared" si="1"/>
        <v>0</v>
      </c>
      <c r="I12" s="145">
        <f t="shared" si="2"/>
        <v>0</v>
      </c>
      <c r="K12" s="147">
        <f t="shared" si="3"/>
        <v>0</v>
      </c>
    </row>
    <row r="13" spans="2:11" x14ac:dyDescent="0.2">
      <c r="B13" t="s">
        <v>17</v>
      </c>
      <c r="C13" s="6" t="s">
        <v>18</v>
      </c>
      <c r="D13" s="6">
        <v>3</v>
      </c>
      <c r="E13" s="12">
        <v>80000</v>
      </c>
      <c r="F13" s="12">
        <f t="shared" si="0"/>
        <v>240000</v>
      </c>
      <c r="G13" s="7">
        <f t="shared" si="1"/>
        <v>2.9130568453150135E-3</v>
      </c>
      <c r="I13" s="145">
        <f t="shared" si="2"/>
        <v>240000</v>
      </c>
      <c r="K13" s="147">
        <f t="shared" si="3"/>
        <v>4.0225717698742121E-3</v>
      </c>
    </row>
    <row r="14" spans="2:11" x14ac:dyDescent="0.2">
      <c r="B14" t="s">
        <v>19</v>
      </c>
      <c r="C14" s="6" t="s">
        <v>20</v>
      </c>
      <c r="D14" s="6">
        <v>3</v>
      </c>
      <c r="E14" s="12">
        <v>140000</v>
      </c>
      <c r="F14" s="12">
        <f t="shared" si="0"/>
        <v>420000</v>
      </c>
      <c r="G14" s="7">
        <f t="shared" si="1"/>
        <v>5.0978494793012738E-3</v>
      </c>
      <c r="I14" s="145">
        <f t="shared" si="2"/>
        <v>420000</v>
      </c>
      <c r="K14" s="147">
        <f t="shared" si="3"/>
        <v>7.0395005972798711E-3</v>
      </c>
    </row>
    <row r="15" spans="2:11" x14ac:dyDescent="0.2">
      <c r="B15" s="4" t="s">
        <v>9</v>
      </c>
      <c r="C15" s="6"/>
      <c r="D15" s="6"/>
      <c r="E15" s="12"/>
      <c r="F15" s="12">
        <f t="shared" si="0"/>
        <v>0</v>
      </c>
      <c r="G15" s="7">
        <f t="shared" si="1"/>
        <v>0</v>
      </c>
      <c r="I15" s="145">
        <f t="shared" si="2"/>
        <v>0</v>
      </c>
      <c r="K15" s="147">
        <f t="shared" si="3"/>
        <v>0</v>
      </c>
    </row>
    <row r="16" spans="2:11" x14ac:dyDescent="0.2">
      <c r="B16" t="s">
        <v>21</v>
      </c>
      <c r="C16" s="6" t="s">
        <v>12</v>
      </c>
      <c r="D16" s="14">
        <v>1</v>
      </c>
      <c r="E16" s="12">
        <v>26928566</v>
      </c>
      <c r="F16" s="12">
        <f t="shared" si="0"/>
        <v>26928566</v>
      </c>
      <c r="G16" s="7">
        <f t="shared" si="1"/>
        <v>0.32685184800340472</v>
      </c>
      <c r="I16" s="145">
        <f t="shared" si="2"/>
        <v>26928566</v>
      </c>
      <c r="K16" s="147">
        <f t="shared" si="3"/>
        <v>0.45134203914497723</v>
      </c>
    </row>
    <row r="17" spans="2:11" x14ac:dyDescent="0.2">
      <c r="B17" t="s">
        <v>22</v>
      </c>
      <c r="C17" s="6" t="s">
        <v>12</v>
      </c>
      <c r="D17" s="14">
        <v>1</v>
      </c>
      <c r="E17" s="12">
        <v>800000</v>
      </c>
      <c r="F17" s="12">
        <f t="shared" si="0"/>
        <v>800000</v>
      </c>
      <c r="G17" s="7">
        <f t="shared" si="1"/>
        <v>9.7101894843833782E-3</v>
      </c>
      <c r="I17" s="145">
        <f t="shared" si="2"/>
        <v>800000</v>
      </c>
      <c r="K17" s="147">
        <f t="shared" si="3"/>
        <v>1.3408572566247372E-2</v>
      </c>
    </row>
    <row r="18" spans="2:11" x14ac:dyDescent="0.2">
      <c r="B18" t="s">
        <v>23</v>
      </c>
      <c r="C18" s="6" t="s">
        <v>12</v>
      </c>
      <c r="D18" s="14">
        <v>1</v>
      </c>
      <c r="E18" s="12">
        <f>+Aux!E66</f>
        <v>956000</v>
      </c>
      <c r="F18" s="12">
        <f t="shared" si="0"/>
        <v>956000</v>
      </c>
      <c r="G18" s="7">
        <f t="shared" si="1"/>
        <v>1.1603676433838138E-2</v>
      </c>
      <c r="I18" s="145">
        <f t="shared" si="2"/>
        <v>956000</v>
      </c>
      <c r="K18" s="147">
        <f t="shared" si="3"/>
        <v>1.6023244216665612E-2</v>
      </c>
    </row>
    <row r="19" spans="2:11" x14ac:dyDescent="0.2">
      <c r="B19" t="s">
        <v>155</v>
      </c>
      <c r="C19" s="6" t="s">
        <v>25</v>
      </c>
      <c r="D19" s="6">
        <f>+Aux!D70</f>
        <v>15</v>
      </c>
      <c r="E19" s="12">
        <f>270000/27</f>
        <v>10000</v>
      </c>
      <c r="F19" s="12">
        <f>+E19*D19</f>
        <v>150000</v>
      </c>
      <c r="G19" s="7">
        <f t="shared" si="1"/>
        <v>1.8206605283218834E-3</v>
      </c>
      <c r="I19" s="145">
        <f t="shared" si="2"/>
        <v>150000</v>
      </c>
      <c r="K19" s="147">
        <f t="shared" si="3"/>
        <v>2.5141073561713826E-3</v>
      </c>
    </row>
    <row r="20" spans="2:11" x14ac:dyDescent="0.2">
      <c r="B20" t="s">
        <v>26</v>
      </c>
      <c r="C20" s="6" t="s">
        <v>14</v>
      </c>
      <c r="D20" s="14"/>
      <c r="E20" s="12"/>
      <c r="F20" s="12">
        <f t="shared" si="0"/>
        <v>0</v>
      </c>
      <c r="G20" s="7">
        <f t="shared" si="1"/>
        <v>0</v>
      </c>
      <c r="I20" s="145">
        <f t="shared" si="2"/>
        <v>0</v>
      </c>
      <c r="K20" s="147">
        <f t="shared" si="3"/>
        <v>0</v>
      </c>
    </row>
    <row r="21" spans="2:11" x14ac:dyDescent="0.2">
      <c r="B21" t="s">
        <v>209</v>
      </c>
      <c r="C21" s="6" t="s">
        <v>14</v>
      </c>
      <c r="D21" s="14">
        <f>+PerimySup!F10</f>
        <v>137.5008</v>
      </c>
      <c r="E21" s="12">
        <f>+Aux!E83</f>
        <v>7272.7648638888886</v>
      </c>
      <c r="F21" s="12">
        <f t="shared" si="0"/>
        <v>1000010.9869966133</v>
      </c>
      <c r="G21" s="7">
        <f t="shared" si="1"/>
        <v>1.2137870212752947E-2</v>
      </c>
      <c r="J21" s="145">
        <f>+F21</f>
        <v>1000010.9869966133</v>
      </c>
      <c r="K21" s="147">
        <f t="shared" si="3"/>
        <v>0</v>
      </c>
    </row>
    <row r="22" spans="2:11" x14ac:dyDescent="0.2">
      <c r="B22" t="s">
        <v>210</v>
      </c>
      <c r="C22" s="6" t="s">
        <v>14</v>
      </c>
      <c r="D22" s="14">
        <f>+PerimySup!F11</f>
        <v>29.2</v>
      </c>
      <c r="E22" s="12">
        <f>+Aux!E90</f>
        <v>13106.619030555556</v>
      </c>
      <c r="F22" s="12">
        <f t="shared" ref="F22:F23" si="5">+E22*D22</f>
        <v>382713.27569222223</v>
      </c>
      <c r="G22" s="7">
        <f t="shared" si="1"/>
        <v>4.645273031450666E-3</v>
      </c>
      <c r="J22" s="145">
        <f>+F22</f>
        <v>382713.27569222223</v>
      </c>
      <c r="K22" s="147">
        <f t="shared" si="3"/>
        <v>0</v>
      </c>
    </row>
    <row r="23" spans="2:11" x14ac:dyDescent="0.2">
      <c r="B23" t="s">
        <v>28</v>
      </c>
      <c r="C23" s="6" t="s">
        <v>14</v>
      </c>
      <c r="D23" s="14">
        <v>0</v>
      </c>
      <c r="E23" s="12"/>
      <c r="F23" s="12">
        <f t="shared" si="5"/>
        <v>0</v>
      </c>
      <c r="G23" s="7">
        <f t="shared" si="1"/>
        <v>0</v>
      </c>
      <c r="I23" s="145">
        <f t="shared" si="2"/>
        <v>0</v>
      </c>
      <c r="K23" s="147">
        <f t="shared" si="3"/>
        <v>0</v>
      </c>
    </row>
    <row r="24" spans="2:11" x14ac:dyDescent="0.2">
      <c r="B24" t="s">
        <v>29</v>
      </c>
      <c r="C24" s="6" t="s">
        <v>14</v>
      </c>
      <c r="D24" s="14">
        <f>+Aux!B100</f>
        <v>136.93279999999999</v>
      </c>
      <c r="E24" s="12">
        <f>+Aux!E104</f>
        <v>18055.04</v>
      </c>
      <c r="F24" s="12">
        <f t="shared" si="0"/>
        <v>2472327.1813119999</v>
      </c>
      <c r="G24" s="7">
        <f t="shared" si="1"/>
        <v>3.0008456747413724E-2</v>
      </c>
      <c r="I24" s="145">
        <f t="shared" si="2"/>
        <v>2472327.1813119999</v>
      </c>
      <c r="K24" s="147">
        <f t="shared" si="3"/>
        <v>4.1437973022659724E-2</v>
      </c>
    </row>
    <row r="25" spans="2:11" x14ac:dyDescent="0.2">
      <c r="B25" t="s">
        <v>32</v>
      </c>
      <c r="C25" s="6" t="s">
        <v>14</v>
      </c>
      <c r="D25" s="14">
        <f>+Aux!E125</f>
        <v>78</v>
      </c>
      <c r="E25" s="12">
        <f>+Aux!E126</f>
        <v>45303.128205128203</v>
      </c>
      <c r="F25" s="12">
        <f t="shared" si="0"/>
        <v>3533644</v>
      </c>
      <c r="G25" s="7">
        <f t="shared" si="1"/>
        <v>4.2890441012943023E-2</v>
      </c>
      <c r="I25" s="145">
        <f t="shared" si="2"/>
        <v>3533644</v>
      </c>
      <c r="K25" s="147">
        <f t="shared" si="3"/>
        <v>5.9226402496605789E-2</v>
      </c>
    </row>
    <row r="26" spans="2:11" x14ac:dyDescent="0.2">
      <c r="B26" t="s">
        <v>33</v>
      </c>
      <c r="C26" s="6" t="s">
        <v>25</v>
      </c>
      <c r="D26" s="14">
        <f>+Aux!B128</f>
        <v>12</v>
      </c>
      <c r="E26" s="12">
        <v>25000</v>
      </c>
      <c r="F26" s="12">
        <f t="shared" si="0"/>
        <v>300000</v>
      </c>
      <c r="G26" s="7">
        <f t="shared" si="1"/>
        <v>3.6413210566437668E-3</v>
      </c>
      <c r="I26" s="145">
        <f t="shared" si="2"/>
        <v>300000</v>
      </c>
      <c r="K26" s="147">
        <f t="shared" si="3"/>
        <v>5.0282147123427651E-3</v>
      </c>
    </row>
    <row r="27" spans="2:11" x14ac:dyDescent="0.2">
      <c r="B27" t="s">
        <v>34</v>
      </c>
      <c r="C27" s="6" t="s">
        <v>25</v>
      </c>
      <c r="D27" s="14">
        <f>+Aux!B129</f>
        <v>8</v>
      </c>
      <c r="E27" s="12">
        <v>25000</v>
      </c>
      <c r="F27" s="12">
        <f t="shared" si="0"/>
        <v>200000</v>
      </c>
      <c r="G27" s="7">
        <f t="shared" si="1"/>
        <v>2.4275473710958445E-3</v>
      </c>
      <c r="I27" s="145">
        <f t="shared" si="2"/>
        <v>200000</v>
      </c>
      <c r="K27" s="147">
        <f t="shared" si="3"/>
        <v>3.3521431415618431E-3</v>
      </c>
    </row>
    <row r="28" spans="2:11" x14ac:dyDescent="0.2">
      <c r="B28" t="s">
        <v>35</v>
      </c>
      <c r="C28" s="6" t="s">
        <v>25</v>
      </c>
      <c r="D28" s="14">
        <f>+Aux!B130</f>
        <v>30</v>
      </c>
      <c r="E28" s="12">
        <v>20000</v>
      </c>
      <c r="F28" s="12">
        <f t="shared" si="0"/>
        <v>600000</v>
      </c>
      <c r="G28" s="7">
        <f t="shared" si="1"/>
        <v>7.2826421132875336E-3</v>
      </c>
      <c r="I28" s="145">
        <f t="shared" si="2"/>
        <v>600000</v>
      </c>
      <c r="K28" s="147">
        <f t="shared" si="3"/>
        <v>1.005642942468553E-2</v>
      </c>
    </row>
    <row r="29" spans="2:11" x14ac:dyDescent="0.2">
      <c r="B29" t="s">
        <v>36</v>
      </c>
      <c r="C29" s="6" t="s">
        <v>25</v>
      </c>
      <c r="D29" s="14">
        <f>+Aux!B131</f>
        <v>50</v>
      </c>
      <c r="E29" s="12">
        <v>15000</v>
      </c>
      <c r="F29" s="12">
        <f t="shared" si="0"/>
        <v>750000</v>
      </c>
      <c r="G29" s="7">
        <f t="shared" si="1"/>
        <v>9.1033026416094173E-3</v>
      </c>
      <c r="I29" s="145">
        <f t="shared" si="2"/>
        <v>750000</v>
      </c>
      <c r="K29" s="147">
        <f t="shared" si="3"/>
        <v>1.2570536780856912E-2</v>
      </c>
    </row>
    <row r="30" spans="2:11" x14ac:dyDescent="0.2">
      <c r="B30" t="s">
        <v>37</v>
      </c>
      <c r="C30" s="6" t="s">
        <v>25</v>
      </c>
      <c r="D30" s="14">
        <f>+Aux!B132</f>
        <v>12.999999999999998</v>
      </c>
      <c r="E30" s="12">
        <v>15000</v>
      </c>
      <c r="F30" s="12">
        <f t="shared" si="0"/>
        <v>194999.99999999997</v>
      </c>
      <c r="G30" s="7">
        <f t="shared" si="1"/>
        <v>2.3668586868184479E-3</v>
      </c>
      <c r="I30" s="145">
        <f t="shared" si="2"/>
        <v>194999.99999999997</v>
      </c>
      <c r="K30" s="147">
        <f t="shared" si="3"/>
        <v>3.2683395630227967E-3</v>
      </c>
    </row>
    <row r="31" spans="2:11" x14ac:dyDescent="0.2">
      <c r="B31" s="4" t="s">
        <v>38</v>
      </c>
      <c r="C31" s="6"/>
      <c r="D31" s="14"/>
      <c r="E31" s="12"/>
      <c r="F31" s="12">
        <f t="shared" si="0"/>
        <v>0</v>
      </c>
      <c r="G31" s="7">
        <f t="shared" si="1"/>
        <v>0</v>
      </c>
      <c r="I31" s="145">
        <f t="shared" si="2"/>
        <v>0</v>
      </c>
      <c r="K31" s="147">
        <f t="shared" si="3"/>
        <v>0</v>
      </c>
    </row>
    <row r="32" spans="2:11" x14ac:dyDescent="0.2">
      <c r="B32" t="s">
        <v>83</v>
      </c>
      <c r="C32" s="6" t="s">
        <v>12</v>
      </c>
      <c r="D32" s="14">
        <v>1</v>
      </c>
      <c r="E32" s="12">
        <v>850000</v>
      </c>
      <c r="F32" s="12">
        <f t="shared" si="0"/>
        <v>850000</v>
      </c>
      <c r="G32" s="7">
        <f t="shared" si="1"/>
        <v>1.0317076327157339E-2</v>
      </c>
      <c r="I32" s="145">
        <f t="shared" ref="I32:I33" si="6">+F32*70%</f>
        <v>595000</v>
      </c>
      <c r="J32" s="145">
        <f t="shared" ref="J32:J33" si="7">+F32-I32</f>
        <v>255000</v>
      </c>
      <c r="K32" s="147">
        <f t="shared" si="3"/>
        <v>9.9726258461464833E-3</v>
      </c>
    </row>
    <row r="33" spans="2:11" x14ac:dyDescent="0.2">
      <c r="B33" t="s">
        <v>433</v>
      </c>
      <c r="C33" s="6" t="s">
        <v>12</v>
      </c>
      <c r="D33" s="14">
        <v>1</v>
      </c>
      <c r="E33" s="12">
        <f>+E32</f>
        <v>850000</v>
      </c>
      <c r="F33" s="12">
        <f t="shared" si="0"/>
        <v>850000</v>
      </c>
      <c r="G33" s="7">
        <f t="shared" si="1"/>
        <v>1.0317076327157339E-2</v>
      </c>
      <c r="I33" s="145">
        <f t="shared" si="6"/>
        <v>595000</v>
      </c>
      <c r="J33" s="145">
        <f t="shared" si="7"/>
        <v>255000</v>
      </c>
      <c r="K33" s="147">
        <f t="shared" si="3"/>
        <v>9.9726258461464833E-3</v>
      </c>
    </row>
    <row r="34" spans="2:11" x14ac:dyDescent="0.2">
      <c r="B34" t="s">
        <v>166</v>
      </c>
      <c r="C34" s="6" t="s">
        <v>12</v>
      </c>
      <c r="D34" s="14">
        <v>1</v>
      </c>
      <c r="E34" s="12">
        <f>+Aux!C147</f>
        <v>1172000</v>
      </c>
      <c r="F34" s="12">
        <f t="shared" si="0"/>
        <v>1172000</v>
      </c>
      <c r="G34" s="7">
        <f t="shared" si="1"/>
        <v>1.4225427594621649E-2</v>
      </c>
      <c r="J34" s="145">
        <f>+F34</f>
        <v>1172000</v>
      </c>
      <c r="K34" s="147">
        <f t="shared" si="3"/>
        <v>0</v>
      </c>
    </row>
    <row r="35" spans="2:11" x14ac:dyDescent="0.2">
      <c r="B35" t="s">
        <v>47</v>
      </c>
      <c r="C35" s="6" t="s">
        <v>42</v>
      </c>
      <c r="D35" s="14">
        <v>1</v>
      </c>
      <c r="E35" s="12">
        <v>32000</v>
      </c>
      <c r="F35" s="12">
        <f t="shared" si="0"/>
        <v>32000</v>
      </c>
      <c r="G35" s="7">
        <f t="shared" si="1"/>
        <v>3.8840757937533515E-4</v>
      </c>
      <c r="I35" s="145">
        <f t="shared" si="2"/>
        <v>32000</v>
      </c>
      <c r="K35" s="147">
        <f t="shared" si="3"/>
        <v>5.3634290264989492E-4</v>
      </c>
    </row>
    <row r="36" spans="2:11" x14ac:dyDescent="0.2">
      <c r="B36" s="4" t="s">
        <v>48</v>
      </c>
      <c r="C36" s="6"/>
      <c r="D36" s="14"/>
      <c r="E36" s="12"/>
      <c r="F36" s="12">
        <f t="shared" si="0"/>
        <v>0</v>
      </c>
      <c r="G36" s="7">
        <f t="shared" si="1"/>
        <v>0</v>
      </c>
      <c r="I36" s="145">
        <f t="shared" si="2"/>
        <v>0</v>
      </c>
      <c r="K36" s="147">
        <f t="shared" si="3"/>
        <v>0</v>
      </c>
    </row>
    <row r="37" spans="2:11" x14ac:dyDescent="0.2">
      <c r="B37" t="s">
        <v>49</v>
      </c>
      <c r="C37" s="6" t="s">
        <v>50</v>
      </c>
      <c r="D37" s="14">
        <v>54</v>
      </c>
      <c r="E37" s="12">
        <v>60000</v>
      </c>
      <c r="F37" s="12">
        <f t="shared" si="0"/>
        <v>3240000</v>
      </c>
      <c r="G37" s="7">
        <f t="shared" si="1"/>
        <v>3.9326267411752686E-2</v>
      </c>
      <c r="I37" s="145">
        <f>+F37*70%</f>
        <v>2268000</v>
      </c>
      <c r="J37" s="145">
        <f>+F37-I37</f>
        <v>972000</v>
      </c>
      <c r="K37" s="147">
        <f t="shared" si="3"/>
        <v>3.8013303225311303E-2</v>
      </c>
    </row>
    <row r="38" spans="2:11" x14ac:dyDescent="0.2">
      <c r="B38" t="s">
        <v>434</v>
      </c>
      <c r="C38" s="6" t="str">
        <f>+C37</f>
        <v>bocas</v>
      </c>
      <c r="D38" s="14">
        <f>+D37</f>
        <v>54</v>
      </c>
      <c r="E38" s="12">
        <f>+E37</f>
        <v>60000</v>
      </c>
      <c r="F38" s="12">
        <f t="shared" si="0"/>
        <v>3240000</v>
      </c>
      <c r="G38" s="7">
        <f t="shared" ref="G38:G55" si="8">+F38/$F$56</f>
        <v>3.9326267411752686E-2</v>
      </c>
      <c r="I38" s="145">
        <f>+F38*70%</f>
        <v>2268000</v>
      </c>
      <c r="J38" s="145">
        <f>+F38-I38</f>
        <v>972000</v>
      </c>
      <c r="K38" s="147">
        <f t="shared" si="3"/>
        <v>3.8013303225311303E-2</v>
      </c>
    </row>
    <row r="39" spans="2:11" x14ac:dyDescent="0.2">
      <c r="B39" t="s">
        <v>51</v>
      </c>
      <c r="C39" s="6" t="s">
        <v>42</v>
      </c>
      <c r="D39" s="14">
        <v>3</v>
      </c>
      <c r="E39" s="12">
        <v>260000</v>
      </c>
      <c r="F39" s="12">
        <f t="shared" si="0"/>
        <v>780000</v>
      </c>
      <c r="G39" s="7">
        <f t="shared" si="8"/>
        <v>9.4674347472737935E-3</v>
      </c>
      <c r="J39" s="145">
        <f>+F39</f>
        <v>780000</v>
      </c>
      <c r="K39" s="147">
        <f t="shared" si="3"/>
        <v>0</v>
      </c>
    </row>
    <row r="40" spans="2:11" x14ac:dyDescent="0.2">
      <c r="B40" t="s">
        <v>429</v>
      </c>
      <c r="C40" s="6" t="s">
        <v>42</v>
      </c>
      <c r="D40" s="14">
        <v>1</v>
      </c>
      <c r="E40" s="12">
        <v>1900000</v>
      </c>
      <c r="F40" s="12">
        <f t="shared" si="0"/>
        <v>1900000</v>
      </c>
      <c r="G40" s="7">
        <f t="shared" si="8"/>
        <v>2.3061700025410522E-2</v>
      </c>
      <c r="I40" s="145">
        <f t="shared" si="2"/>
        <v>1900000</v>
      </c>
      <c r="K40" s="147">
        <f t="shared" si="3"/>
        <v>3.1845359844837509E-2</v>
      </c>
    </row>
    <row r="41" spans="2:11" x14ac:dyDescent="0.2">
      <c r="B41" t="s">
        <v>52</v>
      </c>
      <c r="C41" s="6" t="s">
        <v>12</v>
      </c>
      <c r="D41" s="14">
        <v>1</v>
      </c>
      <c r="E41" s="12">
        <v>5000000</v>
      </c>
      <c r="F41" s="12">
        <f t="shared" si="0"/>
        <v>5000000</v>
      </c>
      <c r="G41" s="7">
        <f t="shared" si="8"/>
        <v>6.0688684277396113E-2</v>
      </c>
      <c r="I41" s="145">
        <f t="shared" si="2"/>
        <v>5000000</v>
      </c>
      <c r="K41" s="147">
        <f t="shared" si="3"/>
        <v>8.3803578539046075E-2</v>
      </c>
    </row>
    <row r="42" spans="2:11" x14ac:dyDescent="0.2">
      <c r="B42" s="4" t="s">
        <v>53</v>
      </c>
      <c r="C42" s="6"/>
      <c r="D42" s="14"/>
      <c r="E42" s="12"/>
      <c r="F42" s="12">
        <f t="shared" si="0"/>
        <v>0</v>
      </c>
      <c r="G42" s="7">
        <f t="shared" si="8"/>
        <v>0</v>
      </c>
      <c r="K42" s="147">
        <f t="shared" si="3"/>
        <v>0</v>
      </c>
    </row>
    <row r="43" spans="2:11" x14ac:dyDescent="0.2">
      <c r="B43" t="s">
        <v>54</v>
      </c>
      <c r="C43" s="6" t="s">
        <v>14</v>
      </c>
      <c r="D43" s="14">
        <f>+PerimySup!I8+PerimySup!J8</f>
        <v>96.564999999999998</v>
      </c>
      <c r="E43" s="12">
        <v>32379.599999999999</v>
      </c>
      <c r="F43" s="12">
        <f t="shared" si="0"/>
        <v>3126736.0739999996</v>
      </c>
      <c r="G43" s="7">
        <f t="shared" si="8"/>
        <v>3.7951499682746206E-2</v>
      </c>
      <c r="J43" s="145">
        <f>+F43</f>
        <v>3126736.0739999996</v>
      </c>
      <c r="K43" s="147">
        <f t="shared" si="3"/>
        <v>0</v>
      </c>
    </row>
    <row r="44" spans="2:11" x14ac:dyDescent="0.2">
      <c r="B44" t="s">
        <v>55</v>
      </c>
      <c r="C44" s="6" t="s">
        <v>14</v>
      </c>
      <c r="D44" s="14">
        <f>+D10</f>
        <v>26</v>
      </c>
      <c r="E44" s="12">
        <v>45000</v>
      </c>
      <c r="F44" s="12">
        <f t="shared" si="0"/>
        <v>1170000</v>
      </c>
      <c r="G44" s="7">
        <f t="shared" si="8"/>
        <v>1.4201152120910691E-2</v>
      </c>
      <c r="J44" s="145">
        <f t="shared" ref="J44:J55" si="9">+F44</f>
        <v>1170000</v>
      </c>
      <c r="K44" s="147">
        <f t="shared" si="3"/>
        <v>0</v>
      </c>
    </row>
    <row r="45" spans="2:11" x14ac:dyDescent="0.2">
      <c r="B45" t="s">
        <v>56</v>
      </c>
      <c r="C45" s="6" t="s">
        <v>25</v>
      </c>
      <c r="D45" s="14">
        <f>+PerimySup!K8</f>
        <v>58.800000000000004</v>
      </c>
      <c r="E45" s="12">
        <v>5000</v>
      </c>
      <c r="F45" s="12">
        <f t="shared" si="0"/>
        <v>294000</v>
      </c>
      <c r="G45" s="7">
        <f t="shared" si="8"/>
        <v>3.5684946355108915E-3</v>
      </c>
      <c r="J45" s="145">
        <f t="shared" si="9"/>
        <v>294000</v>
      </c>
      <c r="K45" s="147">
        <f t="shared" si="3"/>
        <v>0</v>
      </c>
    </row>
    <row r="46" spans="2:11" x14ac:dyDescent="0.2">
      <c r="B46" s="4" t="s">
        <v>57</v>
      </c>
      <c r="C46" s="6"/>
      <c r="D46" s="14"/>
      <c r="E46" s="12"/>
      <c r="F46" s="12">
        <f t="shared" si="0"/>
        <v>0</v>
      </c>
      <c r="G46" s="7">
        <f t="shared" si="8"/>
        <v>0</v>
      </c>
      <c r="J46" s="145">
        <f t="shared" si="9"/>
        <v>0</v>
      </c>
      <c r="K46" s="147">
        <f t="shared" si="3"/>
        <v>0</v>
      </c>
    </row>
    <row r="47" spans="2:11" x14ac:dyDescent="0.2">
      <c r="B47" t="s">
        <v>58</v>
      </c>
      <c r="C47" s="6" t="s">
        <v>42</v>
      </c>
      <c r="D47" s="14">
        <v>3</v>
      </c>
      <c r="E47" s="12">
        <v>11000</v>
      </c>
      <c r="F47" s="12">
        <f t="shared" si="0"/>
        <v>33000</v>
      </c>
      <c r="G47" s="7">
        <f t="shared" si="8"/>
        <v>4.0054531623081436E-4</v>
      </c>
      <c r="J47" s="145">
        <f t="shared" si="9"/>
        <v>33000</v>
      </c>
      <c r="K47" s="147">
        <f t="shared" si="3"/>
        <v>0</v>
      </c>
    </row>
    <row r="48" spans="2:11" x14ac:dyDescent="0.2">
      <c r="B48" s="4" t="s">
        <v>59</v>
      </c>
      <c r="C48" s="6"/>
      <c r="D48" s="14"/>
      <c r="E48" s="12"/>
      <c r="F48" s="12">
        <f t="shared" si="0"/>
        <v>0</v>
      </c>
      <c r="G48" s="7">
        <f t="shared" si="8"/>
        <v>0</v>
      </c>
      <c r="J48" s="145">
        <f t="shared" si="9"/>
        <v>0</v>
      </c>
      <c r="K48" s="147">
        <f t="shared" si="3"/>
        <v>0</v>
      </c>
    </row>
    <row r="49" spans="2:11" x14ac:dyDescent="0.2">
      <c r="B49" t="s">
        <v>60</v>
      </c>
      <c r="C49" s="6" t="s">
        <v>14</v>
      </c>
      <c r="D49" s="14">
        <f>+D21</f>
        <v>137.5008</v>
      </c>
      <c r="E49" s="12">
        <f>+Aux!E182</f>
        <v>3530.8</v>
      </c>
      <c r="F49" s="12">
        <f t="shared" si="0"/>
        <v>485487.82464000001</v>
      </c>
      <c r="G49" s="7">
        <f t="shared" si="8"/>
        <v>5.8927234620193619E-3</v>
      </c>
      <c r="J49" s="145">
        <f t="shared" si="9"/>
        <v>485487.82464000001</v>
      </c>
      <c r="K49" s="147">
        <f t="shared" si="3"/>
        <v>0</v>
      </c>
    </row>
    <row r="50" spans="2:11" x14ac:dyDescent="0.2">
      <c r="B50" t="s">
        <v>61</v>
      </c>
      <c r="C50" s="6" t="s">
        <v>14</v>
      </c>
      <c r="D50" s="14">
        <f>+PerimySup!N8</f>
        <v>68</v>
      </c>
      <c r="E50" s="12">
        <f>+E49</f>
        <v>3530.8</v>
      </c>
      <c r="F50" s="12">
        <f t="shared" si="0"/>
        <v>240094.40000000002</v>
      </c>
      <c r="G50" s="7">
        <f t="shared" si="8"/>
        <v>2.9142026476741711E-3</v>
      </c>
      <c r="J50" s="145">
        <f t="shared" si="9"/>
        <v>240094.40000000002</v>
      </c>
      <c r="K50" s="147">
        <f t="shared" si="3"/>
        <v>0</v>
      </c>
    </row>
    <row r="51" spans="2:11" x14ac:dyDescent="0.2">
      <c r="B51" s="4" t="s">
        <v>63</v>
      </c>
      <c r="C51" s="6"/>
      <c r="D51" s="9"/>
      <c r="E51" s="8"/>
      <c r="F51" s="12">
        <f t="shared" si="0"/>
        <v>0</v>
      </c>
      <c r="G51" s="7">
        <f t="shared" si="8"/>
        <v>0</v>
      </c>
      <c r="J51" s="145">
        <f t="shared" si="9"/>
        <v>0</v>
      </c>
      <c r="K51" s="147">
        <f t="shared" si="3"/>
        <v>0</v>
      </c>
    </row>
    <row r="52" spans="2:11" x14ac:dyDescent="0.2">
      <c r="B52" s="4" t="s">
        <v>435</v>
      </c>
      <c r="C52" s="6" t="s">
        <v>12</v>
      </c>
      <c r="D52" s="9">
        <v>1</v>
      </c>
      <c r="E52" s="8">
        <v>300000</v>
      </c>
      <c r="F52" s="12">
        <f t="shared" ref="F52" si="10">+E52*D52</f>
        <v>300000</v>
      </c>
      <c r="G52" s="7">
        <f t="shared" si="8"/>
        <v>3.6413210566437668E-3</v>
      </c>
      <c r="J52" s="145">
        <f t="shared" si="9"/>
        <v>300000</v>
      </c>
      <c r="K52" s="147">
        <f t="shared" si="3"/>
        <v>0</v>
      </c>
    </row>
    <row r="53" spans="2:11" x14ac:dyDescent="0.2">
      <c r="B53" t="s">
        <v>66</v>
      </c>
      <c r="C53" s="6" t="s">
        <v>25</v>
      </c>
      <c r="D53" s="9">
        <v>4</v>
      </c>
      <c r="E53" s="8">
        <v>950000</v>
      </c>
      <c r="F53" s="12">
        <f t="shared" si="0"/>
        <v>3800000</v>
      </c>
      <c r="G53" s="7">
        <f t="shared" si="8"/>
        <v>4.6123400050821044E-2</v>
      </c>
      <c r="J53" s="145">
        <f t="shared" si="9"/>
        <v>3800000</v>
      </c>
      <c r="K53" s="147">
        <f t="shared" si="3"/>
        <v>0</v>
      </c>
    </row>
    <row r="54" spans="2:11" x14ac:dyDescent="0.2">
      <c r="B54" t="s">
        <v>432</v>
      </c>
      <c r="C54" s="6" t="s">
        <v>12</v>
      </c>
      <c r="D54" s="9">
        <v>1</v>
      </c>
      <c r="E54" s="8">
        <f>+Aux!D185</f>
        <v>526315.78947368416</v>
      </c>
      <c r="F54" s="12">
        <f t="shared" si="0"/>
        <v>526315.78947368416</v>
      </c>
      <c r="G54" s="7">
        <f t="shared" si="8"/>
        <v>6.3882825555153797E-3</v>
      </c>
      <c r="J54" s="145">
        <f t="shared" si="9"/>
        <v>526315.78947368416</v>
      </c>
      <c r="K54" s="147">
        <f t="shared" si="3"/>
        <v>0</v>
      </c>
    </row>
    <row r="55" spans="2:11" x14ac:dyDescent="0.2">
      <c r="B55" t="s">
        <v>247</v>
      </c>
      <c r="C55" s="6" t="s">
        <v>14</v>
      </c>
      <c r="D55" s="9">
        <f>+D53*6</f>
        <v>24</v>
      </c>
      <c r="E55" s="8">
        <v>290000</v>
      </c>
      <c r="F55" s="12">
        <f t="shared" si="0"/>
        <v>6960000</v>
      </c>
      <c r="G55" s="7">
        <f t="shared" si="8"/>
        <v>8.447864851413539E-2</v>
      </c>
      <c r="J55" s="145">
        <f t="shared" si="9"/>
        <v>6960000</v>
      </c>
      <c r="K55" s="147">
        <f t="shared" si="3"/>
        <v>0</v>
      </c>
    </row>
    <row r="56" spans="2:11" x14ac:dyDescent="0.2">
      <c r="C56" s="6"/>
      <c r="D56" s="6"/>
      <c r="E56" s="6" t="s">
        <v>442</v>
      </c>
      <c r="F56" s="10">
        <f>SUM(F6:F55)</f>
        <v>82387681.6499428</v>
      </c>
      <c r="G56" s="6"/>
      <c r="I56" s="10">
        <f t="shared" ref="I56:K56" si="11">SUM(I6:I55)</f>
        <v>59663323.299140275</v>
      </c>
      <c r="J56" s="10">
        <f t="shared" si="11"/>
        <v>22724358.350802518</v>
      </c>
      <c r="K56" s="10">
        <f t="shared" si="11"/>
        <v>0.99999999999999989</v>
      </c>
    </row>
    <row r="57" spans="2:11" x14ac:dyDescent="0.2">
      <c r="C57" s="6"/>
      <c r="D57" s="6"/>
      <c r="E57" s="6" t="s">
        <v>443</v>
      </c>
      <c r="F57" s="6">
        <f>+Aux!D110</f>
        <v>78</v>
      </c>
      <c r="G57" s="6" t="s">
        <v>14</v>
      </c>
      <c r="I57" s="144">
        <f>+I56/$F$56</f>
        <v>0.72417771812834708</v>
      </c>
      <c r="J57" s="144">
        <f>+J56/$F$56</f>
        <v>0.27582228187165275</v>
      </c>
    </row>
    <row r="58" spans="2:11" x14ac:dyDescent="0.2">
      <c r="C58" s="6"/>
      <c r="D58" s="6"/>
      <c r="E58" s="6" t="s">
        <v>444</v>
      </c>
      <c r="F58" s="8">
        <f>+F56/F57</f>
        <v>1056252.3288454206</v>
      </c>
      <c r="G58" s="6"/>
    </row>
    <row r="59" spans="2:11" x14ac:dyDescent="0.2">
      <c r="C59" s="6"/>
      <c r="D59" s="6"/>
      <c r="E59" s="6" t="s">
        <v>444</v>
      </c>
      <c r="F59" s="8">
        <f>+F58/$E$2</f>
        <v>681.45311538414228</v>
      </c>
      <c r="G59" s="6" t="s">
        <v>68</v>
      </c>
    </row>
    <row r="60" spans="2:11" x14ac:dyDescent="0.2">
      <c r="C60" s="6"/>
      <c r="D60" s="6"/>
      <c r="E60" s="140" t="s">
        <v>445</v>
      </c>
      <c r="F60" s="8">
        <f>+F77</f>
        <v>510</v>
      </c>
      <c r="G60" s="6" t="s">
        <v>69</v>
      </c>
    </row>
    <row r="61" spans="2:11" x14ac:dyDescent="0.2">
      <c r="C61" s="6"/>
      <c r="D61" s="6"/>
      <c r="E61" s="6" t="s">
        <v>446</v>
      </c>
      <c r="F61" s="10">
        <f>+F60+F59</f>
        <v>1191.4531153841422</v>
      </c>
      <c r="G61" s="6" t="s">
        <v>437</v>
      </c>
    </row>
    <row r="62" spans="2:11" x14ac:dyDescent="0.2">
      <c r="C62" s="6"/>
      <c r="D62" s="6"/>
      <c r="E62" s="6" t="s">
        <v>448</v>
      </c>
      <c r="F62" s="10">
        <f>+F61*5%</f>
        <v>59.57265576920711</v>
      </c>
      <c r="G62" s="6" t="s">
        <v>437</v>
      </c>
    </row>
    <row r="63" spans="2:11" x14ac:dyDescent="0.2">
      <c r="C63" s="6"/>
      <c r="D63" s="6"/>
      <c r="E63" s="6" t="s">
        <v>448</v>
      </c>
      <c r="F63" s="10">
        <f>+F62*F57</f>
        <v>4646.6671499981549</v>
      </c>
      <c r="G63" s="6"/>
    </row>
    <row r="64" spans="2:11" x14ac:dyDescent="0.2">
      <c r="C64" s="6"/>
      <c r="D64" s="6"/>
      <c r="E64" s="6" t="s">
        <v>450</v>
      </c>
      <c r="F64" s="10">
        <f>+F16*0.89*0.2/1550</f>
        <v>3092.4417729032261</v>
      </c>
      <c r="G64" s="6" t="s">
        <v>449</v>
      </c>
    </row>
    <row r="65" spans="3:11" x14ac:dyDescent="0.2">
      <c r="C65" s="6"/>
      <c r="D65" s="6"/>
      <c r="E65" s="6" t="s">
        <v>447</v>
      </c>
      <c r="F65" s="10">
        <f>+F61-F62-F59-F71+F64/F57</f>
        <v>150.07403362698795</v>
      </c>
      <c r="G65" s="6" t="s">
        <v>437</v>
      </c>
      <c r="J65" s="143"/>
    </row>
    <row r="66" spans="3:11" x14ac:dyDescent="0.2">
      <c r="E66" s="141" t="s">
        <v>447</v>
      </c>
      <c r="F66" s="142">
        <f>+F65*F57</f>
        <v>11705.774622905061</v>
      </c>
      <c r="G66" s="141" t="s">
        <v>449</v>
      </c>
    </row>
    <row r="67" spans="3:11" ht="35" customHeight="1" thickBot="1" x14ac:dyDescent="0.25">
      <c r="E67" s="146" t="s">
        <v>440</v>
      </c>
      <c r="F67" s="146"/>
      <c r="G67" s="146"/>
      <c r="I67">
        <v>1300</v>
      </c>
    </row>
    <row r="68" spans="3:11" x14ac:dyDescent="0.2">
      <c r="E68" s="134" t="s">
        <v>436</v>
      </c>
      <c r="F68" s="150">
        <f>+H68*F71</f>
        <v>108.8</v>
      </c>
      <c r="G68" s="72" t="s">
        <v>437</v>
      </c>
      <c r="H68" s="149">
        <v>0.32</v>
      </c>
      <c r="I68" s="145">
        <v>620</v>
      </c>
      <c r="J68" s="145">
        <f>+H75*I68</f>
        <v>372</v>
      </c>
      <c r="K68">
        <v>440</v>
      </c>
    </row>
    <row r="69" spans="3:11" x14ac:dyDescent="0.2">
      <c r="E69" s="135" t="s">
        <v>438</v>
      </c>
      <c r="F69" s="136">
        <f>+H69*F71</f>
        <v>204</v>
      </c>
      <c r="G69" s="6" t="s">
        <v>437</v>
      </c>
      <c r="H69" s="149">
        <v>0.6</v>
      </c>
      <c r="J69" s="145">
        <f>+I68-J68</f>
        <v>248</v>
      </c>
      <c r="K69">
        <v>180</v>
      </c>
    </row>
    <row r="70" spans="3:11" x14ac:dyDescent="0.2">
      <c r="E70" s="151" t="s">
        <v>452</v>
      </c>
      <c r="F70" s="152">
        <f>+H70*F71</f>
        <v>136</v>
      </c>
      <c r="G70" s="153"/>
      <c r="H70" s="149">
        <v>0.4</v>
      </c>
      <c r="J70" s="145"/>
    </row>
    <row r="71" spans="3:11" ht="17" thickBot="1" x14ac:dyDescent="0.25">
      <c r="E71" s="137" t="s">
        <v>439</v>
      </c>
      <c r="F71" s="138">
        <v>340</v>
      </c>
      <c r="G71" s="139" t="s">
        <v>437</v>
      </c>
    </row>
    <row r="72" spans="3:11" x14ac:dyDescent="0.2">
      <c r="F72" s="11"/>
    </row>
    <row r="73" spans="3:11" ht="17" customHeight="1" thickBot="1" x14ac:dyDescent="0.25">
      <c r="E73" s="146" t="s">
        <v>441</v>
      </c>
      <c r="F73" s="146"/>
      <c r="G73" s="146"/>
    </row>
    <row r="74" spans="3:11" x14ac:dyDescent="0.2">
      <c r="E74" s="134" t="s">
        <v>436</v>
      </c>
      <c r="F74" s="72">
        <f>+F68*1.5</f>
        <v>163.19999999999999</v>
      </c>
      <c r="G74" s="72" t="s">
        <v>437</v>
      </c>
      <c r="H74" s="144">
        <f>+F74/$F$77</f>
        <v>0.31999999999999995</v>
      </c>
    </row>
    <row r="75" spans="3:11" x14ac:dyDescent="0.2">
      <c r="E75" s="135" t="s">
        <v>438</v>
      </c>
      <c r="F75" s="136">
        <f>+F69*1.5</f>
        <v>306</v>
      </c>
      <c r="G75" s="6" t="s">
        <v>437</v>
      </c>
      <c r="H75" s="144">
        <f>+F75/$F$77</f>
        <v>0.6</v>
      </c>
    </row>
    <row r="76" spans="3:11" x14ac:dyDescent="0.2">
      <c r="E76" s="151" t="s">
        <v>452</v>
      </c>
      <c r="F76" s="152">
        <f>+H76*F77</f>
        <v>204</v>
      </c>
      <c r="G76" s="153"/>
      <c r="H76" s="144">
        <v>0.4</v>
      </c>
    </row>
    <row r="77" spans="3:11" ht="17" thickBot="1" x14ac:dyDescent="0.25">
      <c r="E77" s="137" t="s">
        <v>439</v>
      </c>
      <c r="F77" s="138">
        <f t="shared" ref="F77" si="12">+F71*1.5</f>
        <v>510</v>
      </c>
      <c r="G77" s="139" t="s">
        <v>437</v>
      </c>
    </row>
  </sheetData>
  <mergeCells count="1">
    <mergeCell ref="D3:G3"/>
  </mergeCell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E96FD-9041-9F47-BA61-510388A3CFA4}">
  <dimension ref="B1:U48"/>
  <sheetViews>
    <sheetView topLeftCell="A3" workbookViewId="0">
      <selection activeCell="I8" sqref="I8:J8"/>
    </sheetView>
  </sheetViews>
  <sheetFormatPr baseColWidth="10" defaultRowHeight="16" x14ac:dyDescent="0.2"/>
  <cols>
    <col min="2" max="2" width="31.83203125" customWidth="1"/>
    <col min="16" max="16" width="16.33203125" customWidth="1"/>
    <col min="20" max="20" width="24.83203125" customWidth="1"/>
  </cols>
  <sheetData>
    <row r="1" spans="2:21" ht="29" customHeight="1" x14ac:dyDescent="0.2">
      <c r="B1" s="33" t="s">
        <v>140</v>
      </c>
    </row>
    <row r="2" spans="2:21" ht="20" customHeight="1" x14ac:dyDescent="0.2"/>
    <row r="3" spans="2:21" ht="20" customHeight="1" x14ac:dyDescent="0.2">
      <c r="B3" s="17"/>
      <c r="C3" s="16" t="s">
        <v>98</v>
      </c>
      <c r="D3" s="16" t="s">
        <v>99</v>
      </c>
      <c r="E3" s="16" t="s">
        <v>100</v>
      </c>
      <c r="F3" s="34" t="s">
        <v>101</v>
      </c>
      <c r="G3" s="35" t="s">
        <v>115</v>
      </c>
      <c r="H3" s="16" t="s">
        <v>102</v>
      </c>
      <c r="I3" s="16" t="s">
        <v>103</v>
      </c>
      <c r="J3" s="16" t="s">
        <v>104</v>
      </c>
      <c r="K3" s="16" t="s">
        <v>105</v>
      </c>
      <c r="L3" s="16" t="s">
        <v>116</v>
      </c>
      <c r="M3" s="35" t="s">
        <v>164</v>
      </c>
      <c r="N3" s="35" t="s">
        <v>165</v>
      </c>
      <c r="O3" s="16"/>
      <c r="P3" s="16" t="s">
        <v>106</v>
      </c>
      <c r="Q3" s="16" t="s">
        <v>107</v>
      </c>
      <c r="R3" s="16" t="s">
        <v>108</v>
      </c>
      <c r="S3" s="16" t="s">
        <v>109</v>
      </c>
      <c r="T3" s="16"/>
    </row>
    <row r="4" spans="2:21" ht="20" customHeight="1" x14ac:dyDescent="0.2">
      <c r="B4" s="17" t="s">
        <v>111</v>
      </c>
      <c r="C4" s="17">
        <v>33.6</v>
      </c>
      <c r="D4" s="17">
        <v>39.5</v>
      </c>
      <c r="E4" s="36">
        <v>2.73</v>
      </c>
      <c r="F4" s="37"/>
      <c r="G4" s="37"/>
      <c r="H4" s="37"/>
      <c r="I4" s="37">
        <f>+D4</f>
        <v>39.5</v>
      </c>
      <c r="J4" s="38">
        <v>4</v>
      </c>
      <c r="K4" s="37">
        <f>+C4</f>
        <v>33.6</v>
      </c>
      <c r="L4" s="37">
        <f>+(2.97+3.9+3.91+6.87)*3.5+14.41*2.8</f>
        <v>102.123</v>
      </c>
      <c r="M4" s="37">
        <f>+F4-J4</f>
        <v>-4</v>
      </c>
      <c r="N4" s="37">
        <f>+D4</f>
        <v>39.5</v>
      </c>
      <c r="O4" s="17"/>
      <c r="P4" s="17">
        <v>7</v>
      </c>
      <c r="Q4" s="17">
        <v>10</v>
      </c>
      <c r="R4" s="17">
        <v>1</v>
      </c>
      <c r="S4" s="17">
        <v>1</v>
      </c>
      <c r="T4" s="17"/>
      <c r="U4" s="17" t="s">
        <v>111</v>
      </c>
    </row>
    <row r="5" spans="2:21" ht="20" customHeight="1" x14ac:dyDescent="0.2">
      <c r="B5" s="17" t="s">
        <v>112</v>
      </c>
      <c r="C5" s="17">
        <v>8.5</v>
      </c>
      <c r="D5" s="17">
        <v>4.0999999999999996</v>
      </c>
      <c r="E5" s="17">
        <v>2.89</v>
      </c>
      <c r="F5" s="37"/>
      <c r="G5" s="37">
        <f>+(2+2)*E5</f>
        <v>11.56</v>
      </c>
      <c r="H5" s="37">
        <f>+D5</f>
        <v>4.0999999999999996</v>
      </c>
      <c r="I5" s="37">
        <f>+D5</f>
        <v>4.0999999999999996</v>
      </c>
      <c r="J5" s="37">
        <f>+E5*C5</f>
        <v>24.565000000000001</v>
      </c>
      <c r="K5" s="37"/>
      <c r="L5" s="37"/>
      <c r="M5" s="37">
        <f t="shared" ref="M5:M7" si="0">+F5-J5</f>
        <v>-24.565000000000001</v>
      </c>
      <c r="N5" s="37">
        <f t="shared" ref="N5:N7" si="1">+D5</f>
        <v>4.0999999999999996</v>
      </c>
      <c r="O5" s="17"/>
      <c r="P5" s="17">
        <v>1</v>
      </c>
      <c r="Q5" s="17">
        <v>1</v>
      </c>
      <c r="R5" s="17"/>
      <c r="S5" s="17"/>
      <c r="T5" s="17"/>
      <c r="U5" s="17" t="s">
        <v>112</v>
      </c>
    </row>
    <row r="6" spans="2:21" ht="20" customHeight="1" x14ac:dyDescent="0.2">
      <c r="B6" s="17" t="s">
        <v>113</v>
      </c>
      <c r="C6" s="17">
        <v>15.1</v>
      </c>
      <c r="D6" s="17">
        <v>12.9</v>
      </c>
      <c r="E6" s="17">
        <v>3.18</v>
      </c>
      <c r="F6" s="37"/>
      <c r="G6" s="37"/>
      <c r="H6" s="37"/>
      <c r="I6" s="37">
        <f>+D6</f>
        <v>12.9</v>
      </c>
      <c r="J6" s="37"/>
      <c r="K6" s="37">
        <f>+C6-2</f>
        <v>13.1</v>
      </c>
      <c r="L6" s="37"/>
      <c r="M6" s="37">
        <f t="shared" si="0"/>
        <v>0</v>
      </c>
      <c r="N6" s="37">
        <f t="shared" si="1"/>
        <v>12.9</v>
      </c>
      <c r="O6" s="17"/>
      <c r="P6" s="17">
        <v>1</v>
      </c>
      <c r="Q6" s="17">
        <v>6</v>
      </c>
      <c r="R6" s="17">
        <v>1</v>
      </c>
      <c r="S6" s="17"/>
      <c r="T6" s="17"/>
      <c r="U6" s="17" t="s">
        <v>113</v>
      </c>
    </row>
    <row r="7" spans="2:21" ht="20" customHeight="1" x14ac:dyDescent="0.2">
      <c r="B7" s="17" t="s">
        <v>113</v>
      </c>
      <c r="C7" s="17">
        <v>14.1</v>
      </c>
      <c r="D7" s="17">
        <v>11.5</v>
      </c>
      <c r="E7" s="17">
        <v>2.93</v>
      </c>
      <c r="F7" s="37"/>
      <c r="G7" s="37"/>
      <c r="H7" s="37"/>
      <c r="I7" s="37">
        <f>+D7</f>
        <v>11.5</v>
      </c>
      <c r="J7" s="37"/>
      <c r="K7" s="37">
        <f>+C7-2</f>
        <v>12.1</v>
      </c>
      <c r="L7" s="37"/>
      <c r="M7" s="37">
        <f t="shared" si="0"/>
        <v>0</v>
      </c>
      <c r="N7" s="37">
        <f t="shared" si="1"/>
        <v>11.5</v>
      </c>
      <c r="O7" s="17"/>
      <c r="P7" s="17">
        <v>1</v>
      </c>
      <c r="Q7" s="17">
        <v>8</v>
      </c>
      <c r="R7" s="17">
        <v>1</v>
      </c>
      <c r="S7" s="17">
        <v>1</v>
      </c>
      <c r="T7" s="17"/>
      <c r="U7" s="17" t="s">
        <v>114</v>
      </c>
    </row>
    <row r="8" spans="2:21" ht="20" customHeight="1" x14ac:dyDescent="0.2">
      <c r="B8" s="17"/>
      <c r="C8" s="17"/>
      <c r="D8" s="17">
        <f>SUM(D4:D7)</f>
        <v>68</v>
      </c>
      <c r="E8" s="17"/>
      <c r="F8" s="37">
        <f>SUM(F4:F7)</f>
        <v>0</v>
      </c>
      <c r="G8" s="37">
        <f>SUM(G5:G7)</f>
        <v>11.56</v>
      </c>
      <c r="H8" s="37">
        <f>SUM(H5:H7)</f>
        <v>4.0999999999999996</v>
      </c>
      <c r="I8" s="37">
        <f>SUM(I4:I7)</f>
        <v>68</v>
      </c>
      <c r="J8" s="37">
        <f>SUM(J4:J7)</f>
        <v>28.565000000000001</v>
      </c>
      <c r="K8" s="37">
        <f>SUM(K4:K7)</f>
        <v>58.800000000000004</v>
      </c>
      <c r="L8" s="37">
        <f t="shared" ref="L8:N8" si="2">SUM(L4:L7)</f>
        <v>102.123</v>
      </c>
      <c r="M8" s="37">
        <f t="shared" si="2"/>
        <v>-28.565000000000001</v>
      </c>
      <c r="N8" s="37">
        <f t="shared" si="2"/>
        <v>68</v>
      </c>
      <c r="O8" s="17" t="s">
        <v>110</v>
      </c>
      <c r="P8" s="17">
        <v>6</v>
      </c>
      <c r="Q8" s="17">
        <v>1</v>
      </c>
      <c r="R8" s="17"/>
      <c r="S8" s="17"/>
      <c r="T8" s="17"/>
      <c r="U8" s="17"/>
    </row>
    <row r="9" spans="2:21" ht="20" customHeight="1" x14ac:dyDescent="0.2">
      <c r="B9" s="17"/>
      <c r="C9" s="17"/>
      <c r="D9" s="17"/>
      <c r="E9" s="17"/>
      <c r="F9" s="17"/>
      <c r="G9" s="17"/>
      <c r="H9" s="17"/>
      <c r="I9" s="17"/>
      <c r="J9" s="17"/>
      <c r="K9" s="17"/>
      <c r="L9" s="17"/>
      <c r="M9" s="17"/>
      <c r="N9" s="17"/>
      <c r="O9" s="17"/>
      <c r="P9" s="17">
        <f>SUM(P4:P8)</f>
        <v>16</v>
      </c>
      <c r="Q9" s="17">
        <f>SUM(Q4:Q8)</f>
        <v>26</v>
      </c>
      <c r="R9" s="17">
        <f>SUM(R4:R8)</f>
        <v>3</v>
      </c>
      <c r="S9" s="17">
        <f>SUM(S4:S8)</f>
        <v>2</v>
      </c>
      <c r="T9" s="17">
        <f>SUM(P9:S9)</f>
        <v>47</v>
      </c>
    </row>
    <row r="10" spans="2:21" ht="20" customHeight="1" x14ac:dyDescent="0.2">
      <c r="E10" t="s">
        <v>215</v>
      </c>
      <c r="F10" s="95">
        <f>46*2.44*1.22+10*2.44*1.22-F11</f>
        <v>137.5008</v>
      </c>
      <c r="Q10" t="s">
        <v>248</v>
      </c>
    </row>
    <row r="11" spans="2:21" ht="20" customHeight="1" x14ac:dyDescent="0.2">
      <c r="E11" t="s">
        <v>216</v>
      </c>
      <c r="F11" s="95">
        <v>29.2</v>
      </c>
      <c r="Q11" t="s">
        <v>249</v>
      </c>
    </row>
    <row r="12" spans="2:21" ht="20" customHeight="1" x14ac:dyDescent="0.2">
      <c r="P12" s="118" t="s">
        <v>278</v>
      </c>
    </row>
    <row r="13" spans="2:21" ht="20" customHeight="1" x14ac:dyDescent="0.2">
      <c r="P13" s="117" t="s">
        <v>276</v>
      </c>
      <c r="Q13">
        <v>12</v>
      </c>
    </row>
    <row r="14" spans="2:21" ht="20" customHeight="1" x14ac:dyDescent="0.2">
      <c r="P14" s="117" t="s">
        <v>277</v>
      </c>
      <c r="Q14">
        <v>8</v>
      </c>
      <c r="T14" t="s">
        <v>282</v>
      </c>
      <c r="U14">
        <f>6+12+8</f>
        <v>26</v>
      </c>
    </row>
    <row r="15" spans="2:21" ht="20" customHeight="1" x14ac:dyDescent="0.2">
      <c r="P15" s="117" t="s">
        <v>252</v>
      </c>
      <c r="T15" t="s">
        <v>283</v>
      </c>
      <c r="U15">
        <v>2</v>
      </c>
    </row>
    <row r="16" spans="2:21" x14ac:dyDescent="0.2">
      <c r="O16" t="s">
        <v>261</v>
      </c>
      <c r="P16" s="117" t="s">
        <v>275</v>
      </c>
      <c r="Q16">
        <f>+Q17</f>
        <v>35</v>
      </c>
      <c r="R16" t="s">
        <v>266</v>
      </c>
      <c r="T16" t="s">
        <v>253</v>
      </c>
      <c r="U16">
        <v>1</v>
      </c>
    </row>
    <row r="17" spans="10:21" x14ac:dyDescent="0.2">
      <c r="O17" t="s">
        <v>261</v>
      </c>
      <c r="P17" s="117" t="s">
        <v>256</v>
      </c>
      <c r="Q17">
        <v>35</v>
      </c>
      <c r="R17" t="s">
        <v>25</v>
      </c>
      <c r="T17" t="s">
        <v>280</v>
      </c>
      <c r="U17">
        <v>2</v>
      </c>
    </row>
    <row r="18" spans="10:21" x14ac:dyDescent="0.2">
      <c r="O18" t="s">
        <v>262</v>
      </c>
      <c r="P18" s="117" t="s">
        <v>251</v>
      </c>
      <c r="Q18">
        <f>2+4+3+3+2+5+6*0.3+1.5</f>
        <v>22.3</v>
      </c>
      <c r="T18" t="s">
        <v>281</v>
      </c>
      <c r="U18">
        <v>1</v>
      </c>
    </row>
    <row r="19" spans="10:21" x14ac:dyDescent="0.2">
      <c r="P19" s="117" t="s">
        <v>279</v>
      </c>
      <c r="Q19">
        <v>1</v>
      </c>
      <c r="T19" t="s">
        <v>284</v>
      </c>
      <c r="U19">
        <v>22</v>
      </c>
    </row>
    <row r="20" spans="10:21" x14ac:dyDescent="0.2">
      <c r="O20" t="s">
        <v>262</v>
      </c>
      <c r="P20" s="117" t="s">
        <v>256</v>
      </c>
      <c r="U20">
        <f>SUM(U14:U19)</f>
        <v>54</v>
      </c>
    </row>
    <row r="21" spans="10:21" x14ac:dyDescent="0.2">
      <c r="P21" s="117"/>
    </row>
    <row r="22" spans="10:21" x14ac:dyDescent="0.2">
      <c r="J22">
        <v>550</v>
      </c>
      <c r="P22" s="118" t="s">
        <v>253</v>
      </c>
    </row>
    <row r="23" spans="10:21" x14ac:dyDescent="0.2">
      <c r="J23">
        <v>450</v>
      </c>
      <c r="P23" s="117" t="s">
        <v>250</v>
      </c>
      <c r="Q23">
        <v>2</v>
      </c>
    </row>
    <row r="24" spans="10:21" x14ac:dyDescent="0.2">
      <c r="P24" s="117" t="s">
        <v>252</v>
      </c>
      <c r="Q24">
        <v>10</v>
      </c>
    </row>
    <row r="25" spans="10:21" x14ac:dyDescent="0.2">
      <c r="P25" s="117" t="s">
        <v>251</v>
      </c>
      <c r="Q25">
        <f>+Q24+1.5</f>
        <v>11.5</v>
      </c>
    </row>
    <row r="26" spans="10:21" x14ac:dyDescent="0.2">
      <c r="O26" t="s">
        <v>263</v>
      </c>
      <c r="P26" s="117" t="s">
        <v>256</v>
      </c>
      <c r="Q26">
        <v>1</v>
      </c>
    </row>
    <row r="28" spans="10:21" x14ac:dyDescent="0.2">
      <c r="P28" s="118" t="s">
        <v>254</v>
      </c>
    </row>
    <row r="29" spans="10:21" x14ac:dyDescent="0.2">
      <c r="P29" s="117" t="s">
        <v>250</v>
      </c>
      <c r="Q29">
        <v>6</v>
      </c>
      <c r="R29" t="s">
        <v>42</v>
      </c>
    </row>
    <row r="30" spans="10:21" x14ac:dyDescent="0.2">
      <c r="P30" s="117" t="s">
        <v>252</v>
      </c>
      <c r="Q30" s="119">
        <v>48.1</v>
      </c>
      <c r="R30" t="s">
        <v>25</v>
      </c>
    </row>
    <row r="31" spans="10:21" x14ac:dyDescent="0.2">
      <c r="P31" s="117" t="s">
        <v>251</v>
      </c>
      <c r="Q31">
        <f>+(Q32+Q33+Q35)*1.3</f>
        <v>18.2</v>
      </c>
      <c r="R31" t="s">
        <v>266</v>
      </c>
    </row>
    <row r="32" spans="10:21" x14ac:dyDescent="0.2">
      <c r="O32" s="117" t="s">
        <v>267</v>
      </c>
      <c r="P32" s="117" t="s">
        <v>255</v>
      </c>
      <c r="Q32">
        <v>7</v>
      </c>
      <c r="S32">
        <f>1+1+2</f>
        <v>4</v>
      </c>
      <c r="T32" t="s">
        <v>269</v>
      </c>
    </row>
    <row r="33" spans="15:20" x14ac:dyDescent="0.2">
      <c r="O33" s="117" t="s">
        <v>268</v>
      </c>
      <c r="P33" s="117" t="s">
        <v>259</v>
      </c>
      <c r="Q33">
        <v>7</v>
      </c>
    </row>
    <row r="34" spans="15:20" x14ac:dyDescent="0.2">
      <c r="O34" s="117"/>
      <c r="P34" s="117"/>
    </row>
    <row r="35" spans="15:20" x14ac:dyDescent="0.2">
      <c r="P35" s="118" t="s">
        <v>265</v>
      </c>
    </row>
    <row r="36" spans="15:20" x14ac:dyDescent="0.2">
      <c r="P36" s="117" t="s">
        <v>250</v>
      </c>
      <c r="Q36">
        <v>3</v>
      </c>
      <c r="R36" t="s">
        <v>42</v>
      </c>
    </row>
    <row r="37" spans="15:20" x14ac:dyDescent="0.2">
      <c r="P37" s="117" t="s">
        <v>252</v>
      </c>
      <c r="Q37">
        <f>+Q38</f>
        <v>48.1</v>
      </c>
    </row>
    <row r="38" spans="15:20" x14ac:dyDescent="0.2">
      <c r="P38" s="117" t="s">
        <v>251</v>
      </c>
      <c r="Q38">
        <f>+(Q39+Q40+Q41)*1.3</f>
        <v>48.1</v>
      </c>
      <c r="R38" t="s">
        <v>266</v>
      </c>
    </row>
    <row r="39" spans="15:20" x14ac:dyDescent="0.2">
      <c r="O39" t="s">
        <v>270</v>
      </c>
      <c r="P39" s="117" t="s">
        <v>259</v>
      </c>
      <c r="Q39">
        <f>8+4</f>
        <v>12</v>
      </c>
      <c r="R39" t="s">
        <v>25</v>
      </c>
    </row>
    <row r="40" spans="15:20" x14ac:dyDescent="0.2">
      <c r="O40" t="s">
        <v>271</v>
      </c>
      <c r="P40" s="117" t="s">
        <v>259</v>
      </c>
      <c r="Q40">
        <f>4+4</f>
        <v>8</v>
      </c>
      <c r="R40" t="s">
        <v>25</v>
      </c>
    </row>
    <row r="41" spans="15:20" x14ac:dyDescent="0.2">
      <c r="O41" t="s">
        <v>272</v>
      </c>
      <c r="P41" s="117" t="s">
        <v>264</v>
      </c>
      <c r="Q41">
        <f>13+4</f>
        <v>17</v>
      </c>
      <c r="R41" t="s">
        <v>25</v>
      </c>
      <c r="T41">
        <v>1</v>
      </c>
    </row>
    <row r="43" spans="15:20" x14ac:dyDescent="0.2">
      <c r="P43" s="118" t="s">
        <v>260</v>
      </c>
    </row>
    <row r="44" spans="15:20" x14ac:dyDescent="0.2">
      <c r="P44" s="117" t="s">
        <v>257</v>
      </c>
      <c r="Q44">
        <v>22</v>
      </c>
      <c r="R44" t="s">
        <v>42</v>
      </c>
    </row>
    <row r="45" spans="15:20" x14ac:dyDescent="0.2">
      <c r="P45" s="117" t="s">
        <v>252</v>
      </c>
      <c r="Q45">
        <f>+(Q47+Q48)*1.3</f>
        <v>55.9</v>
      </c>
      <c r="R45" t="s">
        <v>25</v>
      </c>
    </row>
    <row r="46" spans="15:20" x14ac:dyDescent="0.2">
      <c r="P46" s="117" t="s">
        <v>258</v>
      </c>
      <c r="Q46">
        <f>+Q45</f>
        <v>55.9</v>
      </c>
      <c r="R46" t="s">
        <v>266</v>
      </c>
    </row>
    <row r="47" spans="15:20" x14ac:dyDescent="0.2">
      <c r="O47" s="117" t="s">
        <v>273</v>
      </c>
      <c r="P47" s="117" t="s">
        <v>259</v>
      </c>
      <c r="Q47">
        <f>19+1.5</f>
        <v>20.5</v>
      </c>
      <c r="T47">
        <f>2+2+1</f>
        <v>5</v>
      </c>
    </row>
    <row r="48" spans="15:20" x14ac:dyDescent="0.2">
      <c r="O48" s="117" t="s">
        <v>274</v>
      </c>
      <c r="P48" s="117" t="s">
        <v>259</v>
      </c>
      <c r="Q48">
        <f>21+1.5</f>
        <v>22.5</v>
      </c>
    </row>
  </sheetData>
  <pageMargins left="0.7" right="0.7" top="0.75" bottom="0.75" header="0.3" footer="0.3"/>
  <pageSetup paperSize="9"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0C4B2-031C-8E4A-9039-87B0882A24FE}">
  <dimension ref="A1:J185"/>
  <sheetViews>
    <sheetView topLeftCell="A102" workbookViewId="0">
      <selection activeCell="B186" sqref="B186"/>
    </sheetView>
  </sheetViews>
  <sheetFormatPr baseColWidth="10" defaultRowHeight="16" x14ac:dyDescent="0.2"/>
  <cols>
    <col min="1" max="1" width="53.1640625" customWidth="1"/>
    <col min="2" max="2" width="16" customWidth="1"/>
    <col min="3" max="3" width="15.1640625" customWidth="1"/>
    <col min="4" max="4" width="14.5" bestFit="1" customWidth="1"/>
    <col min="5" max="5" width="18.83203125" customWidth="1"/>
    <col min="6" max="6" width="13.5" bestFit="1" customWidth="1"/>
    <col min="9" max="9" width="56.5" customWidth="1"/>
  </cols>
  <sheetData>
    <row r="1" spans="1:10" ht="18" x14ac:dyDescent="0.2">
      <c r="A1" s="22"/>
      <c r="B1" s="22"/>
      <c r="C1" s="22"/>
      <c r="D1" s="22"/>
      <c r="E1" s="22"/>
      <c r="F1" s="22"/>
      <c r="G1" s="22"/>
      <c r="H1" s="22"/>
      <c r="I1" s="22"/>
      <c r="J1" s="22"/>
    </row>
    <row r="2" spans="1:10" ht="19" thickBot="1" x14ac:dyDescent="0.25">
      <c r="A2" s="22"/>
      <c r="B2" s="22"/>
      <c r="C2" s="22"/>
      <c r="D2" s="22"/>
      <c r="E2" s="22"/>
      <c r="F2" s="22"/>
      <c r="G2" s="22"/>
      <c r="H2" s="22"/>
      <c r="I2" s="22"/>
      <c r="J2" s="22"/>
    </row>
    <row r="3" spans="1:10" ht="23" x14ac:dyDescent="0.25">
      <c r="A3" s="23" t="s">
        <v>133</v>
      </c>
      <c r="B3" s="24"/>
      <c r="C3" s="25"/>
      <c r="D3" s="22"/>
      <c r="E3" s="22"/>
      <c r="F3" s="22"/>
      <c r="G3" s="22"/>
      <c r="H3" s="22"/>
      <c r="I3" s="22"/>
      <c r="J3" s="22"/>
    </row>
    <row r="4" spans="1:10" ht="18" x14ac:dyDescent="0.2">
      <c r="A4" s="32">
        <v>0</v>
      </c>
      <c r="B4" s="31" t="s">
        <v>25</v>
      </c>
      <c r="C4" s="27"/>
      <c r="D4" s="22"/>
      <c r="E4" s="22"/>
      <c r="F4" s="22"/>
      <c r="G4" s="22"/>
      <c r="H4" s="22"/>
      <c r="I4" s="22"/>
      <c r="J4" s="22"/>
    </row>
    <row r="5" spans="1:10" ht="18" x14ac:dyDescent="0.2">
      <c r="A5" s="32">
        <v>2.5</v>
      </c>
      <c r="B5" s="31" t="s">
        <v>130</v>
      </c>
      <c r="C5" s="27"/>
      <c r="D5" s="22"/>
      <c r="E5" s="22"/>
      <c r="F5" s="22"/>
      <c r="G5" s="22"/>
      <c r="H5" s="22"/>
      <c r="I5" s="22"/>
      <c r="J5" s="22"/>
    </row>
    <row r="6" spans="1:10" ht="18" x14ac:dyDescent="0.2">
      <c r="A6" s="32">
        <v>0.15</v>
      </c>
      <c r="B6" s="31" t="s">
        <v>131</v>
      </c>
      <c r="C6" s="27"/>
      <c r="D6" s="22"/>
      <c r="E6" s="22"/>
      <c r="F6" s="22"/>
      <c r="G6" s="22"/>
      <c r="H6" s="22"/>
      <c r="I6" s="22"/>
      <c r="J6" s="22"/>
    </row>
    <row r="7" spans="1:10" ht="18" x14ac:dyDescent="0.2">
      <c r="A7" s="32">
        <v>1.5</v>
      </c>
      <c r="B7" s="31" t="s">
        <v>132</v>
      </c>
      <c r="C7" s="27"/>
      <c r="D7" s="22"/>
      <c r="E7" s="22"/>
      <c r="F7" s="22"/>
      <c r="G7" s="22"/>
      <c r="H7" s="22"/>
      <c r="I7" s="22"/>
      <c r="J7" s="22"/>
    </row>
    <row r="8" spans="1:10" ht="19" thickBot="1" x14ac:dyDescent="0.25">
      <c r="A8" s="47">
        <f>+A7*A6*A5*A4</f>
        <v>0</v>
      </c>
      <c r="B8" s="48" t="s">
        <v>10</v>
      </c>
      <c r="C8" s="30"/>
      <c r="D8" s="22"/>
      <c r="E8" s="22"/>
      <c r="F8" s="22"/>
      <c r="G8" s="22"/>
      <c r="H8" s="22"/>
      <c r="I8" s="22"/>
      <c r="J8" s="22"/>
    </row>
    <row r="9" spans="1:10" ht="18" x14ac:dyDescent="0.2">
      <c r="A9" s="22"/>
      <c r="B9" s="22"/>
      <c r="C9" s="22"/>
      <c r="D9" s="22"/>
      <c r="E9" s="22"/>
      <c r="F9" s="22"/>
      <c r="G9" s="22"/>
      <c r="H9" s="22"/>
      <c r="I9" s="22"/>
      <c r="J9" s="22"/>
    </row>
    <row r="10" spans="1:10" ht="19" thickBot="1" x14ac:dyDescent="0.25">
      <c r="A10" s="22"/>
      <c r="B10" s="22"/>
      <c r="C10" s="22"/>
      <c r="D10" s="22"/>
      <c r="E10" s="22"/>
      <c r="F10" s="22"/>
      <c r="G10" s="22"/>
      <c r="H10" s="22"/>
      <c r="I10" s="22"/>
      <c r="J10" s="22"/>
    </row>
    <row r="11" spans="1:10" ht="23" x14ac:dyDescent="0.25">
      <c r="A11" s="23" t="s">
        <v>136</v>
      </c>
      <c r="B11" s="24"/>
      <c r="C11" s="25"/>
      <c r="D11" s="22"/>
      <c r="E11" s="22"/>
      <c r="F11" s="22"/>
      <c r="G11" s="22"/>
      <c r="H11" s="22"/>
      <c r="I11" s="22"/>
      <c r="J11" s="22"/>
    </row>
    <row r="12" spans="1:10" ht="18" x14ac:dyDescent="0.2">
      <c r="A12" s="26" t="s">
        <v>134</v>
      </c>
      <c r="B12" s="22"/>
      <c r="C12" s="27"/>
      <c r="D12" s="22"/>
      <c r="E12" s="22"/>
      <c r="F12" s="22"/>
      <c r="G12" s="22"/>
      <c r="H12" s="22"/>
      <c r="I12" s="22"/>
      <c r="J12" s="22"/>
    </row>
    <row r="13" spans="1:10" ht="18" x14ac:dyDescent="0.2">
      <c r="A13" s="129" t="s">
        <v>421</v>
      </c>
      <c r="B13" s="22" t="s">
        <v>135</v>
      </c>
      <c r="C13" s="27"/>
      <c r="D13" s="22"/>
      <c r="E13" s="22"/>
      <c r="F13" s="22"/>
      <c r="G13" s="22"/>
      <c r="H13" s="22"/>
      <c r="I13" s="22"/>
      <c r="J13" s="22"/>
    </row>
    <row r="14" spans="1:10" ht="19" thickBot="1" x14ac:dyDescent="0.25">
      <c r="A14" s="46">
        <v>4.68</v>
      </c>
      <c r="B14" s="43" t="s">
        <v>10</v>
      </c>
      <c r="C14" s="30"/>
      <c r="D14" s="22"/>
      <c r="E14" s="22"/>
      <c r="F14" s="22"/>
      <c r="G14" s="22"/>
      <c r="H14" s="22"/>
      <c r="I14" s="22"/>
      <c r="J14" s="22"/>
    </row>
    <row r="15" spans="1:10" ht="19" thickBot="1" x14ac:dyDescent="0.25">
      <c r="A15" s="22"/>
      <c r="B15" s="22"/>
      <c r="C15" s="22"/>
      <c r="D15" s="22"/>
      <c r="E15" s="22"/>
      <c r="F15" s="22"/>
      <c r="G15" s="22"/>
      <c r="H15" s="22"/>
      <c r="I15" s="22"/>
      <c r="J15" s="22"/>
    </row>
    <row r="16" spans="1:10" ht="23" x14ac:dyDescent="0.25">
      <c r="A16" s="23" t="s">
        <v>137</v>
      </c>
      <c r="B16" s="24"/>
      <c r="C16" s="25"/>
      <c r="D16" s="22"/>
      <c r="E16" s="22"/>
      <c r="F16" s="22"/>
      <c r="G16" s="22"/>
      <c r="H16" s="22"/>
      <c r="I16" s="22"/>
      <c r="J16" s="22"/>
    </row>
    <row r="17" spans="1:10" ht="18" x14ac:dyDescent="0.2">
      <c r="A17" s="26">
        <v>18</v>
      </c>
      <c r="B17" s="22" t="s">
        <v>42</v>
      </c>
      <c r="C17" s="27"/>
      <c r="D17" s="22"/>
      <c r="E17" s="22"/>
      <c r="F17" s="22"/>
      <c r="G17" s="22"/>
      <c r="H17" s="22"/>
      <c r="I17" s="22"/>
      <c r="J17" s="22"/>
    </row>
    <row r="18" spans="1:10" ht="18" x14ac:dyDescent="0.2">
      <c r="A18" s="26">
        <f>1.2*0.2*0.2</f>
        <v>4.8000000000000001E-2</v>
      </c>
      <c r="B18" s="22" t="s">
        <v>10</v>
      </c>
      <c r="C18" s="27"/>
      <c r="D18" s="22"/>
      <c r="E18" s="22"/>
      <c r="F18" s="22"/>
      <c r="G18" s="22"/>
      <c r="H18" s="22"/>
      <c r="I18" s="22"/>
      <c r="J18" s="22"/>
    </row>
    <row r="19" spans="1:10" ht="19" thickBot="1" x14ac:dyDescent="0.25">
      <c r="A19" s="45">
        <f>+A18*A17</f>
        <v>0.86399999999999999</v>
      </c>
      <c r="B19" s="43" t="s">
        <v>10</v>
      </c>
      <c r="C19" s="30"/>
      <c r="D19" s="22"/>
      <c r="E19" s="22"/>
      <c r="F19" s="22"/>
      <c r="G19" s="22"/>
      <c r="H19" s="22"/>
      <c r="I19" s="22"/>
      <c r="J19" s="22"/>
    </row>
    <row r="20" spans="1:10" ht="19" thickBot="1" x14ac:dyDescent="0.25">
      <c r="A20" s="22"/>
      <c r="B20" s="22"/>
      <c r="C20" s="22"/>
      <c r="D20" s="22"/>
      <c r="E20" s="22"/>
      <c r="F20" s="22"/>
      <c r="G20" s="22"/>
      <c r="H20" s="22"/>
      <c r="I20" s="22"/>
      <c r="J20" s="22"/>
    </row>
    <row r="21" spans="1:10" ht="18" x14ac:dyDescent="0.2">
      <c r="A21" s="71" t="s">
        <v>180</v>
      </c>
      <c r="B21" s="72" t="s">
        <v>181</v>
      </c>
      <c r="C21" s="73">
        <v>357</v>
      </c>
      <c r="D21" s="72" t="s">
        <v>172</v>
      </c>
      <c r="E21" s="74">
        <v>7722.72</v>
      </c>
      <c r="F21" s="74">
        <f>+E21*C21/25</f>
        <v>110280.44160000001</v>
      </c>
      <c r="G21" s="25"/>
      <c r="H21" s="22"/>
      <c r="I21" s="22"/>
      <c r="J21" s="22"/>
    </row>
    <row r="22" spans="1:10" ht="18" x14ac:dyDescent="0.2">
      <c r="A22" s="75" t="s">
        <v>180</v>
      </c>
      <c r="B22" s="6" t="s">
        <v>182</v>
      </c>
      <c r="C22" s="14">
        <v>0.75600000000000001</v>
      </c>
      <c r="D22" s="6" t="s">
        <v>10</v>
      </c>
      <c r="E22" s="70">
        <v>46405</v>
      </c>
      <c r="F22" s="70">
        <f t="shared" ref="F22:F24" si="0">+E22*C22</f>
        <v>35082.18</v>
      </c>
      <c r="G22" s="27"/>
      <c r="H22" s="22"/>
      <c r="I22" s="22"/>
      <c r="J22" s="22"/>
    </row>
    <row r="23" spans="1:10" ht="18" x14ac:dyDescent="0.2">
      <c r="A23" s="75" t="s">
        <v>180</v>
      </c>
      <c r="B23" s="6" t="s">
        <v>183</v>
      </c>
      <c r="C23" s="14">
        <v>0.75600000000000001</v>
      </c>
      <c r="D23" s="6" t="s">
        <v>10</v>
      </c>
      <c r="E23" s="70">
        <v>68460.350000000006</v>
      </c>
      <c r="F23" s="70">
        <f t="shared" si="0"/>
        <v>51756.024600000004</v>
      </c>
      <c r="G23" s="27"/>
      <c r="H23" s="22"/>
      <c r="I23" s="22"/>
      <c r="J23" s="22"/>
    </row>
    <row r="24" spans="1:10" ht="18" x14ac:dyDescent="0.2">
      <c r="A24" s="75" t="s">
        <v>180</v>
      </c>
      <c r="B24" s="6" t="s">
        <v>184</v>
      </c>
      <c r="C24" s="14">
        <v>60</v>
      </c>
      <c r="D24" s="6" t="s">
        <v>172</v>
      </c>
      <c r="E24" s="70">
        <v>1974.9507575757575</v>
      </c>
      <c r="F24" s="70">
        <f t="shared" si="0"/>
        <v>118497.04545454546</v>
      </c>
      <c r="G24" s="27"/>
      <c r="H24" s="22"/>
      <c r="I24" s="22"/>
      <c r="J24" s="22"/>
    </row>
    <row r="25" spans="1:10" ht="19" thickBot="1" x14ac:dyDescent="0.25">
      <c r="A25" s="28"/>
      <c r="B25" s="29"/>
      <c r="C25" s="29"/>
      <c r="D25" s="29"/>
      <c r="E25" s="43" t="s">
        <v>185</v>
      </c>
      <c r="F25" s="76">
        <f>SUM(F21:F24)</f>
        <v>315615.69165454549</v>
      </c>
      <c r="G25" s="77" t="s">
        <v>10</v>
      </c>
      <c r="H25" s="22"/>
      <c r="I25" s="22"/>
      <c r="J25" s="22"/>
    </row>
    <row r="26" spans="1:10" ht="19" thickBot="1" x14ac:dyDescent="0.25">
      <c r="A26" s="22"/>
      <c r="B26" s="22"/>
      <c r="C26" s="22"/>
      <c r="D26" s="22"/>
      <c r="E26" s="22"/>
      <c r="F26" s="22"/>
      <c r="G26" s="22"/>
      <c r="H26" s="22"/>
      <c r="I26" s="22"/>
      <c r="J26" s="22"/>
    </row>
    <row r="27" spans="1:10" ht="23" x14ac:dyDescent="0.25">
      <c r="A27" s="23" t="s">
        <v>422</v>
      </c>
      <c r="B27" s="24"/>
      <c r="C27" s="24"/>
      <c r="D27" s="24"/>
      <c r="E27" s="24"/>
      <c r="F27" s="24"/>
      <c r="G27" s="25"/>
      <c r="H27" s="22"/>
      <c r="I27" s="22"/>
      <c r="J27" s="22"/>
    </row>
    <row r="28" spans="1:10" ht="18" x14ac:dyDescent="0.2">
      <c r="A28" s="26" t="s">
        <v>138</v>
      </c>
      <c r="B28" s="22"/>
      <c r="C28" s="22"/>
      <c r="D28" s="22"/>
      <c r="E28" s="22"/>
      <c r="F28" s="22"/>
      <c r="G28" s="27"/>
      <c r="H28" s="22"/>
      <c r="I28" s="22"/>
      <c r="J28" s="22"/>
    </row>
    <row r="29" spans="1:10" ht="18" x14ac:dyDescent="0.2">
      <c r="A29" s="26">
        <v>37.299999999999997</v>
      </c>
      <c r="B29" s="22"/>
      <c r="C29" s="22"/>
      <c r="D29" s="22"/>
      <c r="E29" s="22"/>
      <c r="F29" s="22"/>
      <c r="G29" s="27"/>
      <c r="H29" s="22"/>
      <c r="I29" s="22"/>
      <c r="J29" s="22"/>
    </row>
    <row r="30" spans="1:10" ht="18" x14ac:dyDescent="0.2">
      <c r="A30" s="26">
        <v>3.5</v>
      </c>
      <c r="B30" s="22"/>
      <c r="C30" s="22"/>
      <c r="D30" s="22"/>
      <c r="E30" s="22"/>
      <c r="F30" s="22"/>
      <c r="G30" s="27"/>
      <c r="H30" s="22"/>
      <c r="I30" s="22"/>
      <c r="J30" s="22"/>
    </row>
    <row r="31" spans="1:10" ht="18" x14ac:dyDescent="0.2">
      <c r="A31" s="26">
        <v>11.7</v>
      </c>
      <c r="B31" s="22"/>
      <c r="C31" s="22"/>
      <c r="D31" s="22"/>
      <c r="E31" s="22"/>
      <c r="F31" s="22"/>
      <c r="G31" s="27"/>
      <c r="H31" s="22"/>
      <c r="I31" s="22"/>
      <c r="J31" s="22"/>
    </row>
    <row r="32" spans="1:10" ht="18" x14ac:dyDescent="0.2">
      <c r="A32" s="26">
        <v>10.199999999999999</v>
      </c>
      <c r="B32" s="22"/>
      <c r="C32" s="22"/>
      <c r="D32" s="22"/>
      <c r="E32" s="22"/>
      <c r="F32" s="22"/>
      <c r="G32" s="27"/>
      <c r="H32" s="22"/>
      <c r="I32" s="22"/>
      <c r="J32" s="22"/>
    </row>
    <row r="33" spans="1:10" ht="19" thickBot="1" x14ac:dyDescent="0.25">
      <c r="A33" s="45">
        <f>SUM(A29:A32)</f>
        <v>62.7</v>
      </c>
      <c r="B33" s="43" t="s">
        <v>139</v>
      </c>
      <c r="C33" s="29"/>
      <c r="D33" s="29"/>
      <c r="E33" s="29"/>
      <c r="F33" s="29"/>
      <c r="G33" s="30"/>
      <c r="H33" s="22"/>
      <c r="I33" s="22"/>
      <c r="J33" s="22"/>
    </row>
    <row r="34" spans="1:10" ht="19" thickBot="1" x14ac:dyDescent="0.25">
      <c r="A34" s="22" t="s">
        <v>423</v>
      </c>
      <c r="B34" s="84">
        <f>+A33*0.12</f>
        <v>7.524</v>
      </c>
      <c r="C34" s="84" t="s">
        <v>10</v>
      </c>
      <c r="D34" s="22"/>
      <c r="E34" s="22"/>
      <c r="F34" s="22"/>
      <c r="G34" s="27"/>
      <c r="H34" s="22"/>
      <c r="I34" s="22"/>
      <c r="J34" s="22"/>
    </row>
    <row r="35" spans="1:10" ht="18" x14ac:dyDescent="0.2">
      <c r="A35" s="85" t="s">
        <v>181</v>
      </c>
      <c r="B35" s="64">
        <v>62.7</v>
      </c>
      <c r="C35" s="65" t="s">
        <v>186</v>
      </c>
      <c r="D35" s="66">
        <v>6625</v>
      </c>
      <c r="E35" s="66">
        <f>+D35*B35/25</f>
        <v>16615.5</v>
      </c>
      <c r="F35" s="24"/>
      <c r="G35" s="25"/>
      <c r="H35" s="22"/>
      <c r="I35" s="22"/>
      <c r="J35" s="22"/>
    </row>
    <row r="36" spans="1:10" ht="18" x14ac:dyDescent="0.2">
      <c r="A36" s="67" t="s">
        <v>182</v>
      </c>
      <c r="B36" s="60">
        <v>0.52800000000000002</v>
      </c>
      <c r="C36" s="61" t="s">
        <v>187</v>
      </c>
      <c r="D36" s="62">
        <v>46405</v>
      </c>
      <c r="E36" s="62">
        <f t="shared" ref="E36:E38" si="1">+D36*B36</f>
        <v>24501.84</v>
      </c>
      <c r="F36" s="22"/>
      <c r="G36" s="27"/>
      <c r="H36" s="22"/>
      <c r="I36" s="22"/>
      <c r="J36" s="22"/>
    </row>
    <row r="37" spans="1:10" ht="18" x14ac:dyDescent="0.2">
      <c r="A37" s="86" t="s">
        <v>188</v>
      </c>
      <c r="B37" s="60">
        <v>106.7</v>
      </c>
      <c r="C37" s="61" t="s">
        <v>186</v>
      </c>
      <c r="D37" s="62">
        <v>6100</v>
      </c>
      <c r="E37" s="62">
        <f>+D37*B37/20</f>
        <v>32543.5</v>
      </c>
      <c r="F37" s="22"/>
      <c r="G37" s="27"/>
      <c r="H37" s="22"/>
      <c r="I37" s="22"/>
      <c r="J37" s="22"/>
    </row>
    <row r="38" spans="1:10" ht="18" x14ac:dyDescent="0.2">
      <c r="A38" s="69" t="s">
        <v>189</v>
      </c>
      <c r="B38" s="60">
        <v>0.88000000000000023</v>
      </c>
      <c r="C38" s="61" t="s">
        <v>187</v>
      </c>
      <c r="D38" s="62">
        <v>34712</v>
      </c>
      <c r="E38" s="62">
        <f t="shared" si="1"/>
        <v>30546.560000000009</v>
      </c>
      <c r="F38" s="22"/>
      <c r="G38" s="27"/>
      <c r="H38" s="22"/>
      <c r="I38" s="22"/>
      <c r="J38" s="22"/>
    </row>
    <row r="39" spans="1:10" ht="19" thickBot="1" x14ac:dyDescent="0.25">
      <c r="A39" s="28"/>
      <c r="B39" s="29"/>
      <c r="C39" s="29"/>
      <c r="D39" s="43" t="s">
        <v>205</v>
      </c>
      <c r="E39" s="87">
        <f>SUM(E35:E38)</f>
        <v>104207.40000000001</v>
      </c>
      <c r="F39" s="29"/>
      <c r="G39" s="30"/>
      <c r="H39" s="22"/>
      <c r="I39" s="22"/>
      <c r="J39" s="22"/>
    </row>
    <row r="40" spans="1:10" ht="19" thickBot="1" x14ac:dyDescent="0.25">
      <c r="A40" s="22"/>
      <c r="B40" s="22"/>
      <c r="C40" s="22"/>
      <c r="D40" s="22"/>
      <c r="E40" s="22"/>
      <c r="F40" s="22"/>
      <c r="G40" s="22"/>
      <c r="H40" s="22"/>
      <c r="I40" s="22"/>
      <c r="J40" s="22"/>
    </row>
    <row r="41" spans="1:10" ht="23" x14ac:dyDescent="0.25">
      <c r="A41" s="23" t="s">
        <v>207</v>
      </c>
      <c r="B41" s="24"/>
      <c r="C41" s="24"/>
      <c r="D41" s="24"/>
      <c r="E41" s="24"/>
      <c r="F41" s="24"/>
      <c r="G41" s="25"/>
      <c r="H41" s="22"/>
      <c r="I41" s="22"/>
      <c r="J41" s="22"/>
    </row>
    <row r="42" spans="1:10" ht="18" x14ac:dyDescent="0.2">
      <c r="A42" s="67" t="s">
        <v>181</v>
      </c>
      <c r="B42" s="60">
        <v>2.7300000000000004</v>
      </c>
      <c r="C42" s="61" t="s">
        <v>172</v>
      </c>
      <c r="D42" s="62">
        <v>6625</v>
      </c>
      <c r="E42" s="62">
        <f>+D42*B42/25</f>
        <v>723.45000000000016</v>
      </c>
      <c r="F42" s="22"/>
      <c r="G42" s="27"/>
      <c r="H42" s="22"/>
      <c r="I42" s="22"/>
      <c r="J42" s="22"/>
    </row>
    <row r="43" spans="1:10" ht="18" x14ac:dyDescent="0.2">
      <c r="A43" s="67" t="s">
        <v>182</v>
      </c>
      <c r="B43" s="60">
        <v>2.3310000000000001E-2</v>
      </c>
      <c r="C43" s="61" t="s">
        <v>10</v>
      </c>
      <c r="D43" s="62">
        <v>46405</v>
      </c>
      <c r="E43" s="62">
        <f t="shared" ref="E43" si="2">+D43*B43</f>
        <v>1081.70055</v>
      </c>
      <c r="F43" s="22"/>
      <c r="G43" s="27"/>
      <c r="H43" s="22"/>
      <c r="I43" s="22"/>
      <c r="J43" s="22"/>
    </row>
    <row r="44" spans="1:10" ht="18" x14ac:dyDescent="0.2">
      <c r="A44" s="86" t="s">
        <v>188</v>
      </c>
      <c r="B44" s="60">
        <v>4.8090000000000002</v>
      </c>
      <c r="C44" s="61" t="s">
        <v>172</v>
      </c>
      <c r="D44" s="62">
        <v>6100</v>
      </c>
      <c r="E44" s="62">
        <f>+D44*B44/20</f>
        <v>1466.7450000000001</v>
      </c>
      <c r="F44" s="22"/>
      <c r="G44" s="27"/>
      <c r="H44" s="22"/>
      <c r="I44" s="22"/>
      <c r="J44" s="22"/>
    </row>
    <row r="45" spans="1:10" ht="19" thickBot="1" x14ac:dyDescent="0.25">
      <c r="A45" s="28"/>
      <c r="B45" s="29"/>
      <c r="C45" s="29"/>
      <c r="D45" s="48" t="s">
        <v>204</v>
      </c>
      <c r="E45" s="87">
        <f>SUM(E42:E44)</f>
        <v>3271.8955500000002</v>
      </c>
      <c r="F45" s="29"/>
      <c r="G45" s="30"/>
      <c r="H45" s="22"/>
      <c r="I45" s="22"/>
      <c r="J45" s="22"/>
    </row>
    <row r="46" spans="1:10" ht="19" thickBot="1" x14ac:dyDescent="0.25">
      <c r="A46" s="22"/>
      <c r="B46" s="22"/>
      <c r="C46" s="22"/>
      <c r="D46" s="22"/>
      <c r="E46" s="22"/>
      <c r="F46" s="22"/>
      <c r="G46" s="22"/>
      <c r="H46" s="22"/>
      <c r="I46" s="22"/>
      <c r="J46" s="22"/>
    </row>
    <row r="47" spans="1:10" ht="23" x14ac:dyDescent="0.25">
      <c r="A47" s="23" t="s">
        <v>206</v>
      </c>
      <c r="B47" s="24"/>
      <c r="C47" s="24"/>
      <c r="D47" s="24"/>
      <c r="E47" s="24"/>
      <c r="F47" s="24"/>
      <c r="G47" s="25"/>
      <c r="H47" s="22"/>
    </row>
    <row r="48" spans="1:10" ht="18" x14ac:dyDescent="0.2">
      <c r="A48" s="26" t="s">
        <v>424</v>
      </c>
      <c r="B48" s="22"/>
      <c r="C48" s="22"/>
      <c r="D48" s="22"/>
      <c r="E48" s="22"/>
      <c r="F48" s="22"/>
      <c r="G48" s="27"/>
      <c r="H48" s="22"/>
    </row>
    <row r="49" spans="1:10" ht="19" thickBot="1" x14ac:dyDescent="0.25">
      <c r="A49" s="45">
        <v>26</v>
      </c>
      <c r="B49" s="43" t="s">
        <v>208</v>
      </c>
      <c r="C49" s="29"/>
      <c r="D49" s="29"/>
      <c r="E49" s="29"/>
      <c r="F49" s="29"/>
      <c r="G49" s="30"/>
      <c r="H49" s="22"/>
    </row>
    <row r="50" spans="1:10" ht="17" thickBot="1" x14ac:dyDescent="0.25"/>
    <row r="51" spans="1:10" ht="18" x14ac:dyDescent="0.2">
      <c r="A51" s="71" t="s">
        <v>181</v>
      </c>
      <c r="B51" s="73">
        <v>7.524</v>
      </c>
      <c r="C51" s="72" t="s">
        <v>186</v>
      </c>
      <c r="D51" s="74">
        <v>6625</v>
      </c>
      <c r="E51" s="74">
        <f>+D51*B51/25</f>
        <v>1993.86</v>
      </c>
      <c r="F51" s="88"/>
      <c r="G51" s="89"/>
      <c r="H51" s="22"/>
    </row>
    <row r="52" spans="1:10" ht="18" x14ac:dyDescent="0.2">
      <c r="A52" s="75" t="s">
        <v>182</v>
      </c>
      <c r="B52" s="14">
        <v>6.336E-2</v>
      </c>
      <c r="C52" s="6" t="s">
        <v>187</v>
      </c>
      <c r="D52" s="70">
        <v>46405</v>
      </c>
      <c r="E52" s="70">
        <f t="shared" ref="E52:E54" si="3">+D52*B52</f>
        <v>2940.2208000000001</v>
      </c>
      <c r="F52" s="31"/>
      <c r="G52" s="90"/>
      <c r="H52" s="22"/>
    </row>
    <row r="53" spans="1:10" ht="18" x14ac:dyDescent="0.2">
      <c r="A53" s="75" t="s">
        <v>188</v>
      </c>
      <c r="B53" s="14">
        <v>12.804</v>
      </c>
      <c r="C53" s="6" t="s">
        <v>186</v>
      </c>
      <c r="D53" s="70">
        <v>6100</v>
      </c>
      <c r="E53" s="70">
        <f>+D53*B53/20</f>
        <v>3905.2200000000003</v>
      </c>
      <c r="F53" s="31"/>
      <c r="G53" s="90"/>
      <c r="H53" s="22"/>
    </row>
    <row r="54" spans="1:10" ht="18" x14ac:dyDescent="0.2">
      <c r="A54" s="91" t="s">
        <v>189</v>
      </c>
      <c r="B54" s="14">
        <v>0.10560000000000001</v>
      </c>
      <c r="C54" s="6" t="s">
        <v>187</v>
      </c>
      <c r="D54" s="70">
        <v>34712</v>
      </c>
      <c r="E54" s="70">
        <f t="shared" si="3"/>
        <v>3665.5872000000004</v>
      </c>
      <c r="F54" s="31"/>
      <c r="G54" s="90"/>
      <c r="H54" s="22"/>
    </row>
    <row r="55" spans="1:10" ht="19" thickBot="1" x14ac:dyDescent="0.25">
      <c r="A55" s="92"/>
      <c r="B55" s="31"/>
      <c r="C55" s="31"/>
      <c r="D55" s="48" t="s">
        <v>204</v>
      </c>
      <c r="E55" s="93">
        <f>SUM(E51:E54)</f>
        <v>12504.888000000001</v>
      </c>
      <c r="F55" s="31"/>
      <c r="G55" s="90"/>
      <c r="H55" s="22"/>
    </row>
    <row r="56" spans="1:10" ht="19" thickBot="1" x14ac:dyDescent="0.25">
      <c r="A56" s="22"/>
      <c r="B56" s="22"/>
      <c r="C56" s="22"/>
      <c r="D56" s="22"/>
      <c r="E56" s="22"/>
      <c r="F56" s="22"/>
      <c r="G56" s="22"/>
      <c r="H56" s="22"/>
    </row>
    <row r="57" spans="1:10" ht="23" x14ac:dyDescent="0.25">
      <c r="A57" s="23" t="s">
        <v>23</v>
      </c>
      <c r="B57" s="24"/>
      <c r="C57" s="24"/>
      <c r="D57" s="24"/>
      <c r="E57" s="24"/>
      <c r="F57" s="24"/>
      <c r="G57" s="25"/>
      <c r="H57" s="22"/>
      <c r="I57" s="22"/>
      <c r="J57" s="22"/>
    </row>
    <row r="58" spans="1:10" ht="18" x14ac:dyDescent="0.2">
      <c r="A58" s="26"/>
      <c r="B58" s="22"/>
      <c r="C58" s="22"/>
      <c r="D58" s="22"/>
      <c r="E58" s="39"/>
      <c r="F58" s="22"/>
      <c r="G58" s="27"/>
      <c r="H58" s="22"/>
      <c r="I58" s="22"/>
      <c r="J58" s="22"/>
    </row>
    <row r="59" spans="1:10" ht="18" x14ac:dyDescent="0.2">
      <c r="A59" s="26"/>
      <c r="B59" s="22"/>
      <c r="C59" s="22"/>
      <c r="D59" s="22"/>
      <c r="E59" s="39">
        <f t="shared" ref="E59:E64" si="4">+D59*B59</f>
        <v>0</v>
      </c>
      <c r="F59" s="22"/>
      <c r="G59" s="27"/>
      <c r="H59" s="22"/>
      <c r="I59" s="22"/>
      <c r="J59" s="22"/>
    </row>
    <row r="60" spans="1:10" ht="18" x14ac:dyDescent="0.2">
      <c r="A60" s="26"/>
      <c r="B60" s="22"/>
      <c r="C60" s="22"/>
      <c r="D60" s="22"/>
      <c r="E60" s="39">
        <f t="shared" si="4"/>
        <v>0</v>
      </c>
      <c r="F60" s="22"/>
      <c r="G60" s="27"/>
      <c r="H60" s="22"/>
      <c r="I60" s="22"/>
      <c r="J60" s="22"/>
    </row>
    <row r="61" spans="1:10" ht="18" x14ac:dyDescent="0.2">
      <c r="A61" s="26" t="s">
        <v>150</v>
      </c>
      <c r="B61" s="22">
        <v>2</v>
      </c>
      <c r="C61" s="22" t="s">
        <v>42</v>
      </c>
      <c r="D61" s="22">
        <v>25000</v>
      </c>
      <c r="E61" s="39">
        <f t="shared" si="4"/>
        <v>50000</v>
      </c>
      <c r="F61" s="22"/>
      <c r="G61" s="27"/>
      <c r="H61" s="22"/>
      <c r="I61" s="22"/>
      <c r="J61" s="22"/>
    </row>
    <row r="62" spans="1:10" ht="18" x14ac:dyDescent="0.2">
      <c r="A62" s="26" t="s">
        <v>149</v>
      </c>
      <c r="B62" s="22">
        <v>5</v>
      </c>
      <c r="C62" s="22" t="s">
        <v>148</v>
      </c>
      <c r="D62" s="22">
        <v>20000</v>
      </c>
      <c r="E62" s="39">
        <f t="shared" si="4"/>
        <v>100000</v>
      </c>
      <c r="F62" s="22"/>
      <c r="G62" s="27"/>
      <c r="H62" s="22"/>
      <c r="I62" s="22"/>
      <c r="J62" s="22"/>
    </row>
    <row r="63" spans="1:10" ht="18" x14ac:dyDescent="0.2">
      <c r="A63" s="26" t="s">
        <v>146</v>
      </c>
      <c r="B63" s="22">
        <v>5</v>
      </c>
      <c r="C63" s="22" t="s">
        <v>147</v>
      </c>
      <c r="D63" s="22">
        <v>20000</v>
      </c>
      <c r="E63" s="39">
        <f t="shared" si="4"/>
        <v>100000</v>
      </c>
      <c r="F63" s="22"/>
      <c r="G63" s="27"/>
      <c r="H63" s="22"/>
      <c r="I63" s="22"/>
      <c r="J63" s="22"/>
    </row>
    <row r="64" spans="1:10" ht="18" x14ac:dyDescent="0.2">
      <c r="A64" s="26" t="s">
        <v>145</v>
      </c>
      <c r="B64" s="22">
        <v>4</v>
      </c>
      <c r="C64" s="22" t="s">
        <v>42</v>
      </c>
      <c r="D64" s="22">
        <v>150000</v>
      </c>
      <c r="E64" s="39">
        <f t="shared" si="4"/>
        <v>600000</v>
      </c>
      <c r="F64" s="22"/>
      <c r="G64" s="27"/>
      <c r="H64" s="22"/>
      <c r="I64" s="22"/>
      <c r="J64" s="22"/>
    </row>
    <row r="65" spans="1:10" ht="18" x14ac:dyDescent="0.2">
      <c r="A65" s="26" t="s">
        <v>143</v>
      </c>
      <c r="B65" s="22">
        <v>2</v>
      </c>
      <c r="C65" s="22" t="s">
        <v>144</v>
      </c>
      <c r="D65" s="39">
        <v>53000</v>
      </c>
      <c r="E65" s="39">
        <f>+D65*B65</f>
        <v>106000</v>
      </c>
      <c r="F65" s="22"/>
      <c r="G65" s="27"/>
      <c r="H65" s="22"/>
      <c r="I65" s="22"/>
      <c r="J65" s="22"/>
    </row>
    <row r="66" spans="1:10" ht="19" thickBot="1" x14ac:dyDescent="0.25">
      <c r="A66" s="28"/>
      <c r="B66" s="29"/>
      <c r="C66" s="29"/>
      <c r="D66" s="40"/>
      <c r="E66" s="44">
        <f>SUM(E59:E65)</f>
        <v>956000</v>
      </c>
      <c r="F66" s="29"/>
      <c r="G66" s="30"/>
      <c r="H66" s="22"/>
      <c r="I66" s="22"/>
      <c r="J66" s="22"/>
    </row>
    <row r="67" spans="1:10" ht="19" thickBot="1" x14ac:dyDescent="0.25">
      <c r="A67" s="22"/>
      <c r="B67" s="22"/>
      <c r="C67" s="22"/>
      <c r="D67" s="22"/>
      <c r="E67" s="22"/>
      <c r="F67" s="22"/>
      <c r="G67" s="22"/>
      <c r="H67" s="22"/>
      <c r="I67" s="22"/>
      <c r="J67" s="22"/>
    </row>
    <row r="68" spans="1:10" ht="23" x14ac:dyDescent="0.25">
      <c r="A68" s="23" t="s">
        <v>142</v>
      </c>
      <c r="B68" s="24"/>
      <c r="C68" s="24"/>
      <c r="D68" s="24"/>
      <c r="E68" s="24"/>
      <c r="F68" s="24"/>
      <c r="G68" s="25"/>
      <c r="H68" s="22"/>
      <c r="I68" s="22"/>
      <c r="J68" s="22"/>
    </row>
    <row r="69" spans="1:10" ht="23" x14ac:dyDescent="0.25">
      <c r="A69" s="41"/>
      <c r="B69" s="22" t="s">
        <v>5</v>
      </c>
      <c r="C69" s="22" t="s">
        <v>156</v>
      </c>
      <c r="D69" s="22" t="s">
        <v>157</v>
      </c>
      <c r="E69" s="22"/>
      <c r="F69" s="22"/>
      <c r="G69" s="27"/>
      <c r="H69" s="22"/>
      <c r="I69" s="22"/>
      <c r="J69" s="22"/>
    </row>
    <row r="70" spans="1:10" ht="24" thickBot="1" x14ac:dyDescent="0.3">
      <c r="A70" s="42" t="s">
        <v>155</v>
      </c>
      <c r="B70" s="29">
        <v>1</v>
      </c>
      <c r="C70" s="29">
        <v>15</v>
      </c>
      <c r="D70" s="43">
        <f>+C70*B70</f>
        <v>15</v>
      </c>
      <c r="E70" s="43" t="s">
        <v>25</v>
      </c>
      <c r="F70" s="29"/>
      <c r="G70" s="30"/>
      <c r="H70" s="22"/>
      <c r="I70" s="22"/>
      <c r="J70" s="22"/>
    </row>
    <row r="71" spans="1:10" ht="19" thickBot="1" x14ac:dyDescent="0.25">
      <c r="A71" s="22"/>
      <c r="B71" s="22"/>
      <c r="C71" s="22"/>
      <c r="D71" s="22"/>
      <c r="E71" s="22"/>
      <c r="F71" s="22"/>
      <c r="G71" s="22"/>
      <c r="H71" s="22"/>
      <c r="I71" s="22"/>
      <c r="J71" s="22"/>
    </row>
    <row r="72" spans="1:10" ht="23" x14ac:dyDescent="0.25">
      <c r="A72" s="23" t="s">
        <v>425</v>
      </c>
      <c r="B72" s="24"/>
      <c r="C72" s="24" t="s">
        <v>154</v>
      </c>
      <c r="D72" s="24" t="s">
        <v>5</v>
      </c>
      <c r="E72" s="24"/>
      <c r="F72" s="24"/>
      <c r="G72" s="25"/>
      <c r="H72" s="22"/>
      <c r="I72" s="22"/>
      <c r="J72" s="22"/>
    </row>
    <row r="73" spans="1:10" ht="18" x14ac:dyDescent="0.2">
      <c r="A73" s="26" t="s">
        <v>151</v>
      </c>
      <c r="B73" s="22">
        <v>5.5</v>
      </c>
      <c r="C73" s="22">
        <v>5.5</v>
      </c>
      <c r="D73" s="22">
        <v>15</v>
      </c>
      <c r="E73" s="22">
        <f>+D73*C73</f>
        <v>82.5</v>
      </c>
      <c r="F73" s="22"/>
      <c r="G73" s="27"/>
      <c r="H73" s="22"/>
      <c r="I73" s="22"/>
      <c r="J73" s="22"/>
    </row>
    <row r="74" spans="1:10" ht="18" x14ac:dyDescent="0.2">
      <c r="A74" s="26" t="s">
        <v>152</v>
      </c>
      <c r="B74" s="22">
        <v>9.5</v>
      </c>
      <c r="C74" s="22">
        <v>9.5</v>
      </c>
      <c r="D74" s="22">
        <v>9</v>
      </c>
      <c r="E74" s="22">
        <f>+D74*C74</f>
        <v>85.5</v>
      </c>
      <c r="F74" s="22"/>
      <c r="G74" s="27"/>
      <c r="H74" s="22"/>
      <c r="I74" s="22"/>
      <c r="J74" s="22"/>
    </row>
    <row r="75" spans="1:10" ht="18" x14ac:dyDescent="0.2">
      <c r="A75" s="26" t="s">
        <v>153</v>
      </c>
      <c r="B75" s="22"/>
      <c r="C75" s="22"/>
      <c r="D75" s="22">
        <v>16</v>
      </c>
      <c r="E75" s="22">
        <f t="shared" ref="E75" si="5">+D75*C75</f>
        <v>0</v>
      </c>
      <c r="F75" s="22"/>
      <c r="G75" s="27"/>
      <c r="H75" s="22"/>
      <c r="I75" s="22"/>
      <c r="J75" s="22"/>
    </row>
    <row r="76" spans="1:10" ht="19" thickBot="1" x14ac:dyDescent="0.25">
      <c r="A76" s="28"/>
      <c r="B76" s="29"/>
      <c r="C76" s="29"/>
      <c r="D76" s="29"/>
      <c r="E76" s="43">
        <f>SUM(E73:E75)</f>
        <v>168</v>
      </c>
      <c r="F76" s="43" t="s">
        <v>25</v>
      </c>
      <c r="G76" s="30"/>
      <c r="H76" s="22"/>
      <c r="I76" s="22"/>
      <c r="J76" s="22"/>
    </row>
    <row r="77" spans="1:10" ht="19" thickBot="1" x14ac:dyDescent="0.25">
      <c r="A77" s="22"/>
      <c r="B77" s="22"/>
      <c r="C77" s="22"/>
      <c r="D77" s="22"/>
      <c r="E77" s="22"/>
      <c r="F77" s="22"/>
      <c r="G77" s="22"/>
      <c r="H77" s="22"/>
      <c r="I77" s="22"/>
      <c r="J77" s="22"/>
    </row>
    <row r="78" spans="1:10" ht="23" x14ac:dyDescent="0.25">
      <c r="A78" s="23" t="s">
        <v>211</v>
      </c>
      <c r="B78" s="24"/>
      <c r="C78" s="24"/>
      <c r="D78" s="24"/>
      <c r="E78" s="24"/>
      <c r="F78" s="24"/>
      <c r="G78" s="25"/>
      <c r="H78" s="22"/>
      <c r="I78" s="22"/>
      <c r="J78" s="22"/>
    </row>
    <row r="79" spans="1:10" ht="18" x14ac:dyDescent="0.2">
      <c r="A79" s="67" t="s">
        <v>212</v>
      </c>
      <c r="B79" s="60">
        <v>1.1499999999999999</v>
      </c>
      <c r="C79" s="61" t="s">
        <v>14</v>
      </c>
      <c r="D79" s="62">
        <v>13390</v>
      </c>
      <c r="E79" s="62">
        <f>+D79*B79/1.2/2.4</f>
        <v>5346.7013888888887</v>
      </c>
      <c r="F79" s="22"/>
      <c r="G79" s="27"/>
      <c r="H79" s="22"/>
      <c r="I79" s="22"/>
      <c r="J79" s="22"/>
    </row>
    <row r="80" spans="1:10" ht="18" x14ac:dyDescent="0.2">
      <c r="A80" s="94" t="s">
        <v>191</v>
      </c>
      <c r="B80" s="60">
        <f>36/1.2/2.4</f>
        <v>12.5</v>
      </c>
      <c r="C80" s="61" t="s">
        <v>42</v>
      </c>
      <c r="D80" s="62">
        <v>3.44</v>
      </c>
      <c r="E80" s="62">
        <f t="shared" ref="E80" si="6">+D80*B80</f>
        <v>43</v>
      </c>
      <c r="F80" s="22"/>
      <c r="G80" s="27"/>
      <c r="H80" s="22"/>
      <c r="I80" s="22"/>
      <c r="J80" s="22"/>
    </row>
    <row r="81" spans="1:10" ht="18" x14ac:dyDescent="0.2">
      <c r="A81" s="67" t="s">
        <v>213</v>
      </c>
      <c r="B81" s="60">
        <f>3.6*1.2</f>
        <v>4.32</v>
      </c>
      <c r="C81" s="61" t="s">
        <v>25</v>
      </c>
      <c r="D81" s="62">
        <v>12091</v>
      </c>
      <c r="E81" s="62">
        <f>+D81*B81/75</f>
        <v>696.44159999999999</v>
      </c>
      <c r="F81" s="22"/>
      <c r="G81" s="27"/>
      <c r="H81" s="22"/>
      <c r="I81" s="22"/>
      <c r="J81" s="22"/>
    </row>
    <row r="82" spans="1:10" ht="18" x14ac:dyDescent="0.2">
      <c r="A82" s="67" t="s">
        <v>214</v>
      </c>
      <c r="B82" s="60">
        <v>0.9</v>
      </c>
      <c r="C82" s="61" t="s">
        <v>172</v>
      </c>
      <c r="D82" s="62">
        <v>42191</v>
      </c>
      <c r="E82" s="62">
        <f>+D82*B82/32</f>
        <v>1186.621875</v>
      </c>
      <c r="F82" s="22"/>
      <c r="G82" s="27"/>
      <c r="H82" s="22"/>
      <c r="I82" s="22"/>
      <c r="J82" s="22"/>
    </row>
    <row r="83" spans="1:10" ht="19" thickBot="1" x14ac:dyDescent="0.25">
      <c r="A83" s="28"/>
      <c r="B83" s="29"/>
      <c r="C83" s="29"/>
      <c r="D83" s="43" t="s">
        <v>204</v>
      </c>
      <c r="E83" s="87">
        <f>SUM(E79:E82)</f>
        <v>7272.7648638888886</v>
      </c>
      <c r="F83" s="29"/>
      <c r="G83" s="30"/>
      <c r="H83" s="22"/>
      <c r="I83" s="22"/>
      <c r="J83" s="22"/>
    </row>
    <row r="84" spans="1:10" ht="19" thickBot="1" x14ac:dyDescent="0.25">
      <c r="A84" s="22"/>
      <c r="B84" s="22"/>
      <c r="C84" s="22"/>
      <c r="D84" s="22"/>
      <c r="E84" s="22"/>
      <c r="F84" s="22"/>
      <c r="G84" s="22"/>
      <c r="H84" s="22"/>
      <c r="I84" s="22"/>
      <c r="J84" s="22"/>
    </row>
    <row r="85" spans="1:10" ht="23" x14ac:dyDescent="0.25">
      <c r="A85" s="23" t="s">
        <v>217</v>
      </c>
      <c r="B85" s="24"/>
      <c r="C85" s="24"/>
      <c r="D85" s="24"/>
      <c r="E85" s="24"/>
      <c r="F85" s="24"/>
      <c r="G85" s="25"/>
      <c r="H85" s="22"/>
      <c r="I85" s="22"/>
      <c r="J85" s="22"/>
    </row>
    <row r="86" spans="1:10" ht="18" x14ac:dyDescent="0.2">
      <c r="A86" s="67" t="s">
        <v>218</v>
      </c>
      <c r="B86" s="60">
        <v>1.1499999999999999</v>
      </c>
      <c r="C86" s="61" t="s">
        <v>14</v>
      </c>
      <c r="D86" s="62">
        <v>28000</v>
      </c>
      <c r="E86" s="62">
        <f>+D86*B86/1.2/2.4</f>
        <v>11180.555555555555</v>
      </c>
      <c r="F86" s="22"/>
      <c r="G86" s="27"/>
      <c r="H86" s="22"/>
      <c r="I86" s="22"/>
      <c r="J86" s="22"/>
    </row>
    <row r="87" spans="1:10" ht="18" x14ac:dyDescent="0.2">
      <c r="A87" s="94" t="s">
        <v>191</v>
      </c>
      <c r="B87" s="60">
        <f>36/1.2/2.4</f>
        <v>12.5</v>
      </c>
      <c r="C87" s="61" t="s">
        <v>42</v>
      </c>
      <c r="D87" s="62">
        <v>3.44</v>
      </c>
      <c r="E87" s="62">
        <f t="shared" ref="E87" si="7">+D87*B87</f>
        <v>43</v>
      </c>
      <c r="F87" s="22"/>
      <c r="G87" s="27"/>
      <c r="H87" s="22"/>
      <c r="I87" s="22"/>
      <c r="J87" s="22"/>
    </row>
    <row r="88" spans="1:10" ht="18" x14ac:dyDescent="0.2">
      <c r="A88" s="67" t="s">
        <v>213</v>
      </c>
      <c r="B88" s="60">
        <f>3.6*1.2</f>
        <v>4.32</v>
      </c>
      <c r="C88" s="61" t="s">
        <v>25</v>
      </c>
      <c r="D88" s="62">
        <v>12091</v>
      </c>
      <c r="E88" s="62">
        <f>+D88*B88/75</f>
        <v>696.44159999999999</v>
      </c>
      <c r="F88" s="22"/>
      <c r="G88" s="27"/>
      <c r="H88" s="22"/>
      <c r="I88" s="22"/>
      <c r="J88" s="22"/>
    </row>
    <row r="89" spans="1:10" ht="18" x14ac:dyDescent="0.2">
      <c r="A89" s="67" t="s">
        <v>214</v>
      </c>
      <c r="B89" s="60">
        <v>0.9</v>
      </c>
      <c r="C89" s="61" t="s">
        <v>172</v>
      </c>
      <c r="D89" s="62">
        <v>42191</v>
      </c>
      <c r="E89" s="62">
        <f>+D89*B89/32</f>
        <v>1186.621875</v>
      </c>
      <c r="F89" s="22"/>
      <c r="G89" s="27"/>
      <c r="H89" s="22"/>
      <c r="I89" s="22"/>
      <c r="J89" s="22"/>
    </row>
    <row r="90" spans="1:10" ht="19" thickBot="1" x14ac:dyDescent="0.25">
      <c r="A90" s="28"/>
      <c r="B90" s="29"/>
      <c r="C90" s="29"/>
      <c r="D90" s="43" t="s">
        <v>204</v>
      </c>
      <c r="E90" s="87">
        <f>SUM(E86:E89)</f>
        <v>13106.619030555556</v>
      </c>
      <c r="F90" s="29"/>
      <c r="G90" s="30"/>
      <c r="H90" s="22"/>
      <c r="I90" s="22"/>
      <c r="J90" s="22"/>
    </row>
    <row r="91" spans="1:10" ht="18" x14ac:dyDescent="0.2">
      <c r="A91" s="22"/>
      <c r="B91" s="22"/>
      <c r="C91" s="22"/>
      <c r="D91" s="22"/>
      <c r="E91" s="22"/>
      <c r="F91" s="22"/>
      <c r="G91" s="22"/>
      <c r="H91" s="22"/>
      <c r="I91" s="22"/>
      <c r="J91" s="22"/>
    </row>
    <row r="92" spans="1:10" ht="18" x14ac:dyDescent="0.2">
      <c r="A92" s="22"/>
      <c r="B92" s="22"/>
      <c r="C92" s="22"/>
      <c r="D92" s="22"/>
      <c r="E92" s="22"/>
      <c r="F92" s="22"/>
      <c r="G92" s="22"/>
      <c r="H92" s="22"/>
      <c r="I92" s="22"/>
      <c r="J92" s="22"/>
    </row>
    <row r="93" spans="1:10" ht="19" thickBot="1" x14ac:dyDescent="0.25">
      <c r="A93" s="22"/>
      <c r="B93" s="22"/>
      <c r="C93" s="22"/>
      <c r="D93" s="22"/>
      <c r="E93" s="22"/>
      <c r="F93" s="22"/>
      <c r="G93" s="22"/>
      <c r="H93" s="22"/>
      <c r="I93" s="22"/>
      <c r="J93" s="22"/>
    </row>
    <row r="94" spans="1:10" ht="23" x14ac:dyDescent="0.25">
      <c r="A94" s="23" t="s">
        <v>29</v>
      </c>
      <c r="B94" s="24" t="s">
        <v>426</v>
      </c>
      <c r="C94" s="24"/>
      <c r="D94" s="24"/>
      <c r="E94" s="24"/>
      <c r="F94" s="24"/>
      <c r="G94" s="25"/>
      <c r="H94" s="22"/>
      <c r="I94" s="22"/>
      <c r="J94" s="22"/>
    </row>
    <row r="95" spans="1:10" ht="18" x14ac:dyDescent="0.2">
      <c r="A95" s="26" t="s">
        <v>159</v>
      </c>
      <c r="B95" s="22"/>
      <c r="C95" s="22"/>
      <c r="D95" s="22"/>
      <c r="E95" s="22"/>
      <c r="F95" s="22"/>
      <c r="G95" s="27"/>
      <c r="H95" s="22"/>
      <c r="I95" s="22"/>
      <c r="J95" s="22"/>
    </row>
    <row r="96" spans="1:10" ht="18" x14ac:dyDescent="0.2">
      <c r="A96" s="26" t="s">
        <v>158</v>
      </c>
      <c r="B96" s="22"/>
      <c r="C96" s="22"/>
      <c r="D96" s="22"/>
      <c r="E96" s="22"/>
      <c r="F96" s="22"/>
      <c r="G96" s="27"/>
      <c r="H96" s="22"/>
      <c r="I96" s="22"/>
      <c r="J96" s="22"/>
    </row>
    <row r="97" spans="1:10" ht="18" x14ac:dyDescent="0.2">
      <c r="A97" s="26" t="s">
        <v>160</v>
      </c>
      <c r="B97" s="22"/>
      <c r="C97" s="22"/>
      <c r="D97" s="22"/>
      <c r="E97" s="22"/>
      <c r="F97" s="22"/>
      <c r="G97" s="27"/>
      <c r="H97" s="22"/>
      <c r="I97" s="22"/>
      <c r="J97" s="22"/>
    </row>
    <row r="98" spans="1:10" ht="18" x14ac:dyDescent="0.2">
      <c r="A98" s="26" t="s">
        <v>161</v>
      </c>
      <c r="B98" s="22"/>
      <c r="C98" s="22"/>
      <c r="D98" s="22"/>
      <c r="E98" s="22"/>
      <c r="F98" s="22"/>
      <c r="G98" s="27"/>
      <c r="H98" s="22"/>
      <c r="I98" s="22"/>
      <c r="J98" s="22"/>
    </row>
    <row r="99" spans="1:10" ht="18" x14ac:dyDescent="0.2">
      <c r="A99" s="26" t="s">
        <v>162</v>
      </c>
      <c r="B99" s="22"/>
      <c r="C99" s="22"/>
      <c r="D99" s="22"/>
      <c r="E99" s="22"/>
      <c r="F99" s="22"/>
      <c r="G99" s="27"/>
      <c r="H99" s="22"/>
      <c r="I99" s="22"/>
      <c r="J99" s="22"/>
    </row>
    <row r="100" spans="1:10" ht="19" thickBot="1" x14ac:dyDescent="0.25">
      <c r="A100" s="28"/>
      <c r="B100" s="130">
        <f>46*1.22*2.44</f>
        <v>136.93279999999999</v>
      </c>
      <c r="C100" s="43" t="s">
        <v>14</v>
      </c>
      <c r="D100" s="29"/>
      <c r="E100" s="29"/>
      <c r="F100" s="29"/>
      <c r="G100" s="30"/>
      <c r="H100" s="22"/>
      <c r="I100" s="22"/>
      <c r="J100" s="22"/>
    </row>
    <row r="101" spans="1:10" ht="19" thickBot="1" x14ac:dyDescent="0.25">
      <c r="A101" s="22"/>
      <c r="B101" s="22"/>
      <c r="C101" s="22"/>
      <c r="D101" s="22"/>
      <c r="E101" s="22"/>
      <c r="F101" s="22"/>
      <c r="G101" s="22"/>
      <c r="H101" s="22"/>
      <c r="I101" s="22"/>
      <c r="J101" s="22"/>
    </row>
    <row r="102" spans="1:10" ht="18" x14ac:dyDescent="0.2">
      <c r="A102" s="78" t="s">
        <v>219</v>
      </c>
      <c r="B102" s="64">
        <v>1.2</v>
      </c>
      <c r="C102" s="65" t="s">
        <v>190</v>
      </c>
      <c r="D102" s="62">
        <v>15000</v>
      </c>
      <c r="E102" s="62">
        <f>+D102*B102</f>
        <v>18000</v>
      </c>
      <c r="F102" s="24"/>
      <c r="G102" s="25"/>
      <c r="H102" s="22"/>
      <c r="I102" s="22"/>
      <c r="J102" s="22"/>
    </row>
    <row r="103" spans="1:10" ht="18" x14ac:dyDescent="0.2">
      <c r="A103" s="79" t="s">
        <v>191</v>
      </c>
      <c r="B103" s="60">
        <v>16</v>
      </c>
      <c r="C103" s="61" t="s">
        <v>190</v>
      </c>
      <c r="D103" s="62">
        <v>1720</v>
      </c>
      <c r="E103" s="62">
        <f>+D103*B103/500</f>
        <v>55.04</v>
      </c>
      <c r="F103" s="22"/>
      <c r="G103" s="27"/>
      <c r="H103" s="22"/>
      <c r="I103" s="22"/>
      <c r="J103" s="22"/>
    </row>
    <row r="104" spans="1:10" ht="19" thickBot="1" x14ac:dyDescent="0.25">
      <c r="A104" s="28"/>
      <c r="B104" s="29"/>
      <c r="C104" s="29"/>
      <c r="D104" s="84" t="s">
        <v>204</v>
      </c>
      <c r="E104" s="96">
        <f>SUM(E100:E103)</f>
        <v>18055.04</v>
      </c>
      <c r="F104" s="29"/>
      <c r="G104" s="30"/>
      <c r="H104" s="22"/>
      <c r="I104" s="22"/>
      <c r="J104" s="22"/>
    </row>
    <row r="105" spans="1:10" ht="19" thickBot="1" x14ac:dyDescent="0.25">
      <c r="A105" s="22"/>
      <c r="B105" s="22"/>
      <c r="C105" s="22"/>
      <c r="D105" s="22"/>
      <c r="E105" s="22"/>
      <c r="F105" s="22"/>
      <c r="G105" s="22"/>
      <c r="H105" s="22"/>
      <c r="I105" s="22"/>
      <c r="J105" s="22"/>
    </row>
    <row r="106" spans="1:10" ht="23" x14ac:dyDescent="0.25">
      <c r="A106" s="23" t="s">
        <v>32</v>
      </c>
      <c r="B106" s="50"/>
      <c r="C106" s="50"/>
      <c r="D106" s="50"/>
      <c r="E106" s="50"/>
      <c r="F106" s="50"/>
      <c r="G106" s="51"/>
    </row>
    <row r="107" spans="1:10" ht="18" x14ac:dyDescent="0.2">
      <c r="A107" s="26" t="s">
        <v>177</v>
      </c>
      <c r="B107" s="15"/>
      <c r="C107" s="15"/>
      <c r="D107" s="15"/>
      <c r="E107" s="15"/>
      <c r="F107" s="15"/>
      <c r="G107" s="57"/>
    </row>
    <row r="108" spans="1:10" ht="18" x14ac:dyDescent="0.2">
      <c r="A108" s="26" t="s">
        <v>178</v>
      </c>
      <c r="B108" s="22">
        <v>9</v>
      </c>
      <c r="C108" s="22">
        <v>5.5</v>
      </c>
      <c r="D108" s="22">
        <f>+C108*B108</f>
        <v>49.5</v>
      </c>
      <c r="E108" s="22"/>
      <c r="F108" s="15"/>
      <c r="G108" s="57"/>
    </row>
    <row r="109" spans="1:10" ht="18" x14ac:dyDescent="0.2">
      <c r="A109" s="26" t="s">
        <v>179</v>
      </c>
      <c r="B109" s="22">
        <v>3</v>
      </c>
      <c r="C109" s="22">
        <v>9.5</v>
      </c>
      <c r="D109" s="22">
        <f>+C109*B109</f>
        <v>28.5</v>
      </c>
      <c r="E109" s="22"/>
      <c r="F109" s="15"/>
      <c r="G109" s="57"/>
    </row>
    <row r="110" spans="1:10" ht="19" thickBot="1" x14ac:dyDescent="0.25">
      <c r="A110" s="28"/>
      <c r="B110" s="29"/>
      <c r="C110" s="29"/>
      <c r="D110" s="43">
        <f>SUM(D108:D109)</f>
        <v>78</v>
      </c>
      <c r="E110" s="43" t="s">
        <v>14</v>
      </c>
      <c r="F110" s="58"/>
      <c r="G110" s="59"/>
    </row>
    <row r="111" spans="1:10" ht="18" x14ac:dyDescent="0.2">
      <c r="A111" s="26"/>
    </row>
    <row r="112" spans="1:10" x14ac:dyDescent="0.2">
      <c r="A112" s="67" t="s">
        <v>169</v>
      </c>
      <c r="B112" s="60">
        <v>2.8</v>
      </c>
      <c r="C112" s="61" t="s">
        <v>25</v>
      </c>
      <c r="D112" s="62">
        <v>1190</v>
      </c>
      <c r="E112" s="62">
        <f t="shared" ref="E112:E116" si="8">+D112*B112</f>
        <v>3332</v>
      </c>
      <c r="G112" s="53"/>
    </row>
    <row r="113" spans="1:7" x14ac:dyDescent="0.2">
      <c r="A113" s="67" t="s">
        <v>170</v>
      </c>
      <c r="B113" s="60">
        <v>2.2000000000000002</v>
      </c>
      <c r="C113" s="61" t="s">
        <v>25</v>
      </c>
      <c r="D113" s="62">
        <v>2500</v>
      </c>
      <c r="E113" s="62">
        <f t="shared" si="8"/>
        <v>5500</v>
      </c>
      <c r="G113" s="53"/>
    </row>
    <row r="114" spans="1:7" x14ac:dyDescent="0.2">
      <c r="A114" s="68" t="s">
        <v>171</v>
      </c>
      <c r="B114" s="60">
        <v>1.5</v>
      </c>
      <c r="C114" s="61" t="s">
        <v>172</v>
      </c>
      <c r="D114" s="62">
        <v>21.777777777777779</v>
      </c>
      <c r="E114" s="62">
        <f t="shared" si="8"/>
        <v>32.666666666666671</v>
      </c>
      <c r="G114" s="53"/>
    </row>
    <row r="115" spans="1:7" x14ac:dyDescent="0.2">
      <c r="A115" s="69" t="s">
        <v>173</v>
      </c>
      <c r="B115" s="60">
        <f>1/5*1.2</f>
        <v>0.24</v>
      </c>
      <c r="C115" s="61" t="s">
        <v>174</v>
      </c>
      <c r="D115" s="62">
        <v>13125</v>
      </c>
      <c r="E115" s="62">
        <f t="shared" si="8"/>
        <v>3150</v>
      </c>
      <c r="G115" s="53"/>
    </row>
    <row r="116" spans="1:7" x14ac:dyDescent="0.2">
      <c r="A116" s="69" t="s">
        <v>175</v>
      </c>
      <c r="B116" s="60">
        <v>10</v>
      </c>
      <c r="C116" s="61" t="s">
        <v>42</v>
      </c>
      <c r="D116" s="62">
        <v>125</v>
      </c>
      <c r="E116" s="62">
        <f t="shared" si="8"/>
        <v>1250</v>
      </c>
      <c r="G116" s="53"/>
    </row>
    <row r="117" spans="1:7" x14ac:dyDescent="0.2">
      <c r="A117" s="69"/>
      <c r="B117" s="60"/>
      <c r="C117" s="61"/>
      <c r="D117" s="70" t="s">
        <v>220</v>
      </c>
      <c r="E117" s="70">
        <f>SUM(E112:E116)</f>
        <v>13264.666666666666</v>
      </c>
      <c r="G117" s="53"/>
    </row>
    <row r="118" spans="1:7" x14ac:dyDescent="0.2">
      <c r="A118" s="97"/>
      <c r="B118" s="98"/>
      <c r="D118" s="70" t="s">
        <v>221</v>
      </c>
      <c r="E118" s="70">
        <v>78</v>
      </c>
      <c r="G118" s="53"/>
    </row>
    <row r="119" spans="1:7" x14ac:dyDescent="0.2">
      <c r="A119" s="97"/>
      <c r="B119" s="98"/>
      <c r="D119" s="70" t="s">
        <v>222</v>
      </c>
      <c r="E119" s="70">
        <f>+E118*E117</f>
        <v>1034644</v>
      </c>
      <c r="G119" s="53"/>
    </row>
    <row r="120" spans="1:7" ht="17" thickBot="1" x14ac:dyDescent="0.25">
      <c r="A120" s="97"/>
      <c r="B120" s="98"/>
      <c r="D120" s="99"/>
      <c r="E120" s="99"/>
      <c r="G120" s="53"/>
    </row>
    <row r="121" spans="1:7" x14ac:dyDescent="0.2">
      <c r="A121" s="63" t="s">
        <v>167</v>
      </c>
      <c r="B121" s="64">
        <f>+E76</f>
        <v>168</v>
      </c>
      <c r="C121" s="65" t="s">
        <v>168</v>
      </c>
      <c r="D121" s="66">
        <v>10000</v>
      </c>
      <c r="E121" s="66">
        <f>+D121*B121</f>
        <v>1680000</v>
      </c>
      <c r="G121" s="53"/>
    </row>
    <row r="122" spans="1:7" x14ac:dyDescent="0.2">
      <c r="A122" s="69" t="s">
        <v>176</v>
      </c>
      <c r="B122" s="60">
        <f>+D110</f>
        <v>78</v>
      </c>
      <c r="C122" s="61" t="s">
        <v>168</v>
      </c>
      <c r="D122" s="62">
        <f>+'[2]Precios U'!$D$102/5</f>
        <v>10500</v>
      </c>
      <c r="E122" s="62">
        <f t="shared" ref="E122" si="9">+D122*B122</f>
        <v>819000</v>
      </c>
      <c r="G122" s="53"/>
    </row>
    <row r="123" spans="1:7" ht="17" thickBot="1" x14ac:dyDescent="0.25">
      <c r="A123" s="54"/>
      <c r="B123" s="55"/>
      <c r="C123" s="55"/>
      <c r="D123" s="6" t="s">
        <v>223</v>
      </c>
      <c r="E123" s="70">
        <f>+E122+E121</f>
        <v>2499000</v>
      </c>
      <c r="F123" s="55"/>
      <c r="G123" s="56"/>
    </row>
    <row r="124" spans="1:7" x14ac:dyDescent="0.2">
      <c r="A124" s="52"/>
      <c r="D124" s="100" t="s">
        <v>224</v>
      </c>
      <c r="E124" s="101">
        <f>+E123+E119</f>
        <v>3533644</v>
      </c>
    </row>
    <row r="125" spans="1:7" x14ac:dyDescent="0.2">
      <c r="A125" s="52"/>
      <c r="D125" s="100"/>
      <c r="E125" s="101">
        <f>+E118</f>
        <v>78</v>
      </c>
    </row>
    <row r="126" spans="1:7" ht="17" thickBot="1" x14ac:dyDescent="0.25">
      <c r="A126" s="52"/>
      <c r="D126" s="102"/>
      <c r="E126" s="103">
        <f>+E124/E125</f>
        <v>45303.128205128203</v>
      </c>
    </row>
    <row r="127" spans="1:7" ht="24" thickBot="1" x14ac:dyDescent="0.3">
      <c r="A127" s="41" t="s">
        <v>163</v>
      </c>
    </row>
    <row r="128" spans="1:7" x14ac:dyDescent="0.2">
      <c r="A128" s="49" t="s">
        <v>33</v>
      </c>
      <c r="B128" s="50">
        <v>12</v>
      </c>
      <c r="C128" s="50" t="s">
        <v>25</v>
      </c>
      <c r="D128" s="50"/>
      <c r="E128" s="50"/>
      <c r="F128" s="50"/>
      <c r="G128" s="51"/>
    </row>
    <row r="129" spans="1:7" x14ac:dyDescent="0.2">
      <c r="A129" s="52" t="s">
        <v>34</v>
      </c>
      <c r="B129">
        <v>8</v>
      </c>
      <c r="C129" t="s">
        <v>25</v>
      </c>
      <c r="G129" s="53"/>
    </row>
    <row r="130" spans="1:7" x14ac:dyDescent="0.2">
      <c r="A130" s="52" t="s">
        <v>35</v>
      </c>
      <c r="B130">
        <v>30</v>
      </c>
      <c r="C130" t="s">
        <v>25</v>
      </c>
      <c r="G130" s="53"/>
    </row>
    <row r="131" spans="1:7" x14ac:dyDescent="0.2">
      <c r="A131" s="52" t="s">
        <v>36</v>
      </c>
      <c r="B131">
        <v>50</v>
      </c>
      <c r="C131" t="s">
        <v>25</v>
      </c>
      <c r="G131" s="53"/>
    </row>
    <row r="132" spans="1:7" ht="17" thickBot="1" x14ac:dyDescent="0.25">
      <c r="A132" s="54" t="s">
        <v>37</v>
      </c>
      <c r="B132" s="55">
        <f>1.5*4+2.6+2.3+0.7*3</f>
        <v>12.999999999999998</v>
      </c>
      <c r="C132" s="55" t="s">
        <v>25</v>
      </c>
      <c r="D132" s="55"/>
      <c r="E132" s="55"/>
      <c r="F132" s="55"/>
      <c r="G132" s="56"/>
    </row>
    <row r="134" spans="1:7" ht="17" thickBot="1" x14ac:dyDescent="0.25"/>
    <row r="135" spans="1:7" x14ac:dyDescent="0.2">
      <c r="A135" s="71" t="s">
        <v>197</v>
      </c>
      <c r="B135" s="72">
        <v>1</v>
      </c>
      <c r="C135" s="80">
        <v>364000</v>
      </c>
    </row>
    <row r="136" spans="1:7" x14ac:dyDescent="0.2">
      <c r="A136" s="75" t="s">
        <v>192</v>
      </c>
      <c r="B136" s="6">
        <v>1</v>
      </c>
      <c r="C136" s="81" t="s">
        <v>31</v>
      </c>
    </row>
    <row r="137" spans="1:7" x14ac:dyDescent="0.2">
      <c r="A137" s="75" t="s">
        <v>193</v>
      </c>
      <c r="B137" s="6">
        <v>1</v>
      </c>
      <c r="C137" s="81">
        <v>125000</v>
      </c>
    </row>
    <row r="138" spans="1:7" x14ac:dyDescent="0.2">
      <c r="A138" s="75" t="s">
        <v>198</v>
      </c>
      <c r="B138" s="6">
        <v>1</v>
      </c>
      <c r="C138" s="81">
        <v>320000</v>
      </c>
    </row>
    <row r="139" spans="1:7" x14ac:dyDescent="0.2">
      <c r="A139" s="75" t="s">
        <v>199</v>
      </c>
      <c r="B139" s="6">
        <v>1</v>
      </c>
      <c r="C139" s="81">
        <v>82000</v>
      </c>
    </row>
    <row r="140" spans="1:7" x14ac:dyDescent="0.2">
      <c r="A140" s="75" t="s">
        <v>200</v>
      </c>
      <c r="B140" s="6">
        <v>1</v>
      </c>
      <c r="C140" s="81">
        <v>150000</v>
      </c>
    </row>
    <row r="141" spans="1:7" x14ac:dyDescent="0.2">
      <c r="A141" s="75" t="s">
        <v>201</v>
      </c>
      <c r="B141" s="6">
        <v>1</v>
      </c>
      <c r="C141" s="81">
        <v>51000</v>
      </c>
    </row>
    <row r="142" spans="1:7" x14ac:dyDescent="0.2">
      <c r="A142" s="75" t="s">
        <v>202</v>
      </c>
      <c r="B142" s="6">
        <v>1</v>
      </c>
      <c r="C142" s="81">
        <v>30000</v>
      </c>
    </row>
    <row r="143" spans="1:7" x14ac:dyDescent="0.2">
      <c r="A143" s="52" t="s">
        <v>194</v>
      </c>
      <c r="B143">
        <v>1</v>
      </c>
      <c r="C143" s="82">
        <v>20000</v>
      </c>
    </row>
    <row r="144" spans="1:7" x14ac:dyDescent="0.2">
      <c r="A144" s="52" t="s">
        <v>195</v>
      </c>
      <c r="B144">
        <v>1</v>
      </c>
      <c r="C144" s="82">
        <v>20000</v>
      </c>
    </row>
    <row r="145" spans="1:10" x14ac:dyDescent="0.2">
      <c r="A145" s="52" t="s">
        <v>196</v>
      </c>
      <c r="B145">
        <v>1</v>
      </c>
      <c r="C145" s="82">
        <v>10000</v>
      </c>
    </row>
    <row r="146" spans="1:10" x14ac:dyDescent="0.2">
      <c r="A146" s="52"/>
      <c r="C146" s="53"/>
    </row>
    <row r="147" spans="1:10" ht="17" thickBot="1" x14ac:dyDescent="0.25">
      <c r="A147" s="54"/>
      <c r="B147" s="55"/>
      <c r="C147" s="83">
        <f>SUM(C135:C146)</f>
        <v>1172000</v>
      </c>
    </row>
    <row r="148" spans="1:10" ht="17" thickBot="1" x14ac:dyDescent="0.25"/>
    <row r="149" spans="1:10" ht="20" customHeight="1" x14ac:dyDescent="0.25">
      <c r="A149" s="23" t="s">
        <v>225</v>
      </c>
      <c r="B149" s="50"/>
      <c r="C149" s="50"/>
      <c r="D149" s="51"/>
      <c r="I149" s="123" t="s">
        <v>225</v>
      </c>
      <c r="J149" s="124"/>
    </row>
    <row r="150" spans="1:10" ht="35" customHeight="1" x14ac:dyDescent="0.2">
      <c r="A150" s="131" t="s">
        <v>417</v>
      </c>
      <c r="B150">
        <v>4</v>
      </c>
      <c r="C150" s="132"/>
      <c r="D150" s="82">
        <f>+C150*B150</f>
        <v>0</v>
      </c>
      <c r="I150" s="125" t="s">
        <v>417</v>
      </c>
      <c r="J150" s="126">
        <v>4</v>
      </c>
    </row>
    <row r="151" spans="1:10" ht="31" customHeight="1" x14ac:dyDescent="0.2">
      <c r="A151" s="104" t="s">
        <v>418</v>
      </c>
      <c r="B151">
        <v>1</v>
      </c>
      <c r="C151" s="132"/>
      <c r="D151" s="82">
        <f t="shared" ref="D151:D154" si="10">+C151*B151</f>
        <v>0</v>
      </c>
      <c r="I151" s="125" t="s">
        <v>418</v>
      </c>
      <c r="J151" s="126">
        <v>1</v>
      </c>
    </row>
    <row r="152" spans="1:10" ht="36" customHeight="1" x14ac:dyDescent="0.2">
      <c r="A152" s="104" t="s">
        <v>419</v>
      </c>
      <c r="B152">
        <v>1</v>
      </c>
      <c r="C152" s="132"/>
      <c r="D152" s="82">
        <f t="shared" si="10"/>
        <v>0</v>
      </c>
      <c r="I152" s="125" t="s">
        <v>419</v>
      </c>
      <c r="J152" s="126">
        <v>1</v>
      </c>
    </row>
    <row r="153" spans="1:10" ht="32" customHeight="1" thickBot="1" x14ac:dyDescent="0.25">
      <c r="A153" s="104" t="s">
        <v>420</v>
      </c>
      <c r="B153">
        <v>3</v>
      </c>
      <c r="C153" s="132"/>
      <c r="D153" s="82">
        <f t="shared" si="10"/>
        <v>0</v>
      </c>
      <c r="I153" s="127" t="s">
        <v>420</v>
      </c>
      <c r="J153" s="128">
        <v>3</v>
      </c>
    </row>
    <row r="154" spans="1:10" ht="20" customHeight="1" x14ac:dyDescent="0.2">
      <c r="A154" s="104"/>
      <c r="C154" s="105"/>
      <c r="D154" s="82">
        <f t="shared" si="10"/>
        <v>0</v>
      </c>
    </row>
    <row r="155" spans="1:10" ht="17" thickBot="1" x14ac:dyDescent="0.25">
      <c r="A155" s="54"/>
      <c r="B155" s="55"/>
      <c r="C155" s="106"/>
      <c r="D155" s="107">
        <f>SUM(D150:D154)</f>
        <v>0</v>
      </c>
    </row>
    <row r="157" spans="1:10" ht="17" thickBot="1" x14ac:dyDescent="0.25"/>
    <row r="158" spans="1:10" ht="23" x14ac:dyDescent="0.25">
      <c r="A158" s="23" t="s">
        <v>226</v>
      </c>
      <c r="B158" s="50"/>
      <c r="C158" s="50"/>
      <c r="D158" s="50"/>
      <c r="E158" s="51"/>
    </row>
    <row r="159" spans="1:10" x14ac:dyDescent="0.2">
      <c r="A159" s="108" t="s">
        <v>227</v>
      </c>
      <c r="B159" s="60">
        <f>4.73</f>
        <v>4.7300000000000004</v>
      </c>
      <c r="C159" s="61" t="s">
        <v>172</v>
      </c>
      <c r="D159" s="62">
        <v>30000</v>
      </c>
      <c r="E159" s="109">
        <f>+D159*B159/25</f>
        <v>5676</v>
      </c>
    </row>
    <row r="160" spans="1:10" x14ac:dyDescent="0.2">
      <c r="A160" s="67" t="s">
        <v>228</v>
      </c>
      <c r="B160" s="60">
        <v>0.32</v>
      </c>
      <c r="C160" s="61" t="s">
        <v>172</v>
      </c>
      <c r="D160" s="62">
        <v>39900</v>
      </c>
      <c r="E160" s="109">
        <f>+D160*B160/5</f>
        <v>2553.6</v>
      </c>
    </row>
    <row r="161" spans="1:5" x14ac:dyDescent="0.2">
      <c r="A161" s="52" t="s">
        <v>229</v>
      </c>
      <c r="B161">
        <v>1.1499999999999999</v>
      </c>
      <c r="C161" t="s">
        <v>14</v>
      </c>
      <c r="D161" s="110">
        <v>21000</v>
      </c>
      <c r="E161" s="53">
        <f>+D161*B161</f>
        <v>24149.999999999996</v>
      </c>
    </row>
    <row r="162" spans="1:5" ht="17" thickBot="1" x14ac:dyDescent="0.25">
      <c r="A162" s="54"/>
      <c r="B162" s="55"/>
      <c r="C162" s="55"/>
      <c r="D162" s="111" t="s">
        <v>204</v>
      </c>
      <c r="E162" s="112">
        <f>SUM(E159:E161)</f>
        <v>32379.599999999999</v>
      </c>
    </row>
    <row r="163" spans="1:5" ht="17" thickBot="1" x14ac:dyDescent="0.25"/>
    <row r="164" spans="1:5" ht="23" x14ac:dyDescent="0.25">
      <c r="A164" s="23" t="s">
        <v>230</v>
      </c>
      <c r="B164" s="50"/>
      <c r="C164" s="50"/>
      <c r="D164" s="50"/>
      <c r="E164" s="51"/>
    </row>
    <row r="165" spans="1:5" x14ac:dyDescent="0.2">
      <c r="A165" s="67" t="s">
        <v>231</v>
      </c>
      <c r="B165" s="60">
        <v>1</v>
      </c>
      <c r="C165" s="61" t="s">
        <v>25</v>
      </c>
      <c r="D165" s="62">
        <v>2500</v>
      </c>
      <c r="E165" s="109">
        <f>+D165*B165</f>
        <v>2500</v>
      </c>
    </row>
    <row r="166" spans="1:5" x14ac:dyDescent="0.2">
      <c r="A166" s="67" t="s">
        <v>232</v>
      </c>
      <c r="B166" s="113">
        <v>0.1</v>
      </c>
      <c r="C166" s="61" t="s">
        <v>233</v>
      </c>
      <c r="D166" s="62">
        <v>25000</v>
      </c>
      <c r="E166" s="109">
        <f>+D166*B166</f>
        <v>2500</v>
      </c>
    </row>
    <row r="167" spans="1:5" ht="17" thickBot="1" x14ac:dyDescent="0.25">
      <c r="A167" s="54"/>
      <c r="B167" s="55"/>
      <c r="C167" s="55"/>
      <c r="D167" s="111" t="s">
        <v>234</v>
      </c>
      <c r="E167" s="112">
        <f>SUM(E164:E166)</f>
        <v>5000</v>
      </c>
    </row>
    <row r="168" spans="1:5" ht="17" thickBot="1" x14ac:dyDescent="0.25"/>
    <row r="169" spans="1:5" ht="23" x14ac:dyDescent="0.25">
      <c r="A169" s="23" t="s">
        <v>235</v>
      </c>
      <c r="B169" s="50"/>
      <c r="C169" s="50"/>
      <c r="D169" s="51"/>
    </row>
    <row r="170" spans="1:5" ht="17" x14ac:dyDescent="0.2">
      <c r="A170" s="114" t="s">
        <v>236</v>
      </c>
      <c r="B170">
        <v>8</v>
      </c>
      <c r="C170">
        <v>25000</v>
      </c>
      <c r="D170" s="82">
        <f>+C170*B170</f>
        <v>200000</v>
      </c>
    </row>
    <row r="171" spans="1:5" ht="34" x14ac:dyDescent="0.2">
      <c r="A171" s="114" t="s">
        <v>237</v>
      </c>
      <c r="B171">
        <v>3</v>
      </c>
      <c r="C171">
        <v>20000</v>
      </c>
      <c r="D171" s="82">
        <f>+C171*B171</f>
        <v>60000</v>
      </c>
    </row>
    <row r="172" spans="1:5" ht="34" x14ac:dyDescent="0.2">
      <c r="A172" s="114" t="s">
        <v>238</v>
      </c>
      <c r="B172">
        <v>3</v>
      </c>
      <c r="C172">
        <v>57000</v>
      </c>
      <c r="D172" s="82">
        <f>+C172*B172</f>
        <v>171000</v>
      </c>
    </row>
    <row r="173" spans="1:5" x14ac:dyDescent="0.2">
      <c r="A173" s="115" t="s">
        <v>239</v>
      </c>
      <c r="B173">
        <v>2</v>
      </c>
      <c r="C173">
        <v>15000</v>
      </c>
      <c r="D173" s="82">
        <f>+C173*B173</f>
        <v>30000</v>
      </c>
    </row>
    <row r="174" spans="1:5" x14ac:dyDescent="0.2">
      <c r="A174" s="115" t="s">
        <v>240</v>
      </c>
      <c r="B174">
        <v>2</v>
      </c>
      <c r="C174">
        <v>55000</v>
      </c>
      <c r="D174" s="82">
        <f>+C174*B174</f>
        <v>110000</v>
      </c>
    </row>
    <row r="175" spans="1:5" ht="17" thickBot="1" x14ac:dyDescent="0.25">
      <c r="A175" s="54"/>
      <c r="B175" s="55"/>
      <c r="C175" s="55"/>
      <c r="D175" s="83">
        <f>SUM(D170:D174)</f>
        <v>571000</v>
      </c>
    </row>
    <row r="176" spans="1:5" ht="17" thickBot="1" x14ac:dyDescent="0.25"/>
    <row r="177" spans="1:5" ht="23" x14ac:dyDescent="0.25">
      <c r="A177" s="23" t="s">
        <v>59</v>
      </c>
      <c r="B177" s="50"/>
      <c r="C177" s="50"/>
      <c r="D177" s="50"/>
      <c r="E177" s="51"/>
    </row>
    <row r="178" spans="1:5" x14ac:dyDescent="0.2">
      <c r="A178" s="69" t="s">
        <v>241</v>
      </c>
      <c r="B178" s="60">
        <v>0.41</v>
      </c>
      <c r="C178" s="61" t="s">
        <v>242</v>
      </c>
      <c r="D178" s="62">
        <v>82000</v>
      </c>
      <c r="E178" s="109">
        <f>+D178*B178/20</f>
        <v>1681</v>
      </c>
    </row>
    <row r="179" spans="1:5" x14ac:dyDescent="0.2">
      <c r="A179" s="67" t="s">
        <v>243</v>
      </c>
      <c r="B179" s="60">
        <v>7.0000000000000007E-2</v>
      </c>
      <c r="C179" s="61" t="s">
        <v>242</v>
      </c>
      <c r="D179" s="62">
        <v>30000</v>
      </c>
      <c r="E179" s="109">
        <f>+D179*B179/10</f>
        <v>210</v>
      </c>
    </row>
    <row r="180" spans="1:5" x14ac:dyDescent="0.2">
      <c r="A180" s="67" t="s">
        <v>244</v>
      </c>
      <c r="B180" s="60">
        <v>0.33</v>
      </c>
      <c r="C180" s="61" t="s">
        <v>242</v>
      </c>
      <c r="D180" s="62">
        <v>25000</v>
      </c>
      <c r="E180" s="109">
        <f>+D180*B180/10</f>
        <v>825</v>
      </c>
    </row>
    <row r="181" spans="1:5" x14ac:dyDescent="0.2">
      <c r="A181" s="67" t="s">
        <v>245</v>
      </c>
      <c r="B181" s="116">
        <v>0.3</v>
      </c>
      <c r="C181" s="61" t="s">
        <v>246</v>
      </c>
      <c r="D181" s="62">
        <v>2716</v>
      </c>
      <c r="E181" s="109">
        <f>+D181*B181</f>
        <v>814.8</v>
      </c>
    </row>
    <row r="182" spans="1:5" ht="17" thickBot="1" x14ac:dyDescent="0.25">
      <c r="A182" s="54"/>
      <c r="B182" s="55"/>
      <c r="C182" s="55"/>
      <c r="D182" s="111" t="s">
        <v>204</v>
      </c>
      <c r="E182" s="112">
        <f>SUM(E178:E181)</f>
        <v>3530.8</v>
      </c>
    </row>
    <row r="183" spans="1:5" ht="17" thickBot="1" x14ac:dyDescent="0.25"/>
    <row r="184" spans="1:5" ht="23" x14ac:dyDescent="0.25">
      <c r="A184" s="23" t="s">
        <v>431</v>
      </c>
      <c r="B184" s="50"/>
      <c r="C184" s="50"/>
      <c r="D184" s="50"/>
      <c r="E184" s="51"/>
    </row>
    <row r="185" spans="1:5" ht="17" thickBot="1" x14ac:dyDescent="0.25">
      <c r="A185" s="54" t="s">
        <v>430</v>
      </c>
      <c r="B185" s="55">
        <v>16</v>
      </c>
      <c r="C185" s="106">
        <f>2500000/76</f>
        <v>32894.73684210526</v>
      </c>
      <c r="D185" s="111">
        <f>+C185*B185</f>
        <v>526315.78947368416</v>
      </c>
      <c r="E185" s="56"/>
    </row>
  </sheetData>
  <phoneticPr fontId="10" type="noConversion"/>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82DA4-53FC-1B49-917A-2757F93A2114}">
  <dimension ref="A2:F74"/>
  <sheetViews>
    <sheetView workbookViewId="0">
      <selection activeCell="B28" sqref="B28"/>
    </sheetView>
  </sheetViews>
  <sheetFormatPr baseColWidth="10" defaultRowHeight="16" x14ac:dyDescent="0.2"/>
  <cols>
    <col min="1" max="1" width="10.83203125" style="15"/>
    <col min="2" max="2" width="78" style="15" customWidth="1"/>
    <col min="3" max="6" width="10.83203125" style="15"/>
  </cols>
  <sheetData>
    <row r="2" spans="2:5" ht="20" x14ac:dyDescent="0.2">
      <c r="B2" s="21" t="s">
        <v>72</v>
      </c>
    </row>
    <row r="4" spans="2:5" x14ac:dyDescent="0.2">
      <c r="B4" s="15" t="s">
        <v>3</v>
      </c>
      <c r="C4" s="16" t="s">
        <v>4</v>
      </c>
    </row>
    <row r="5" spans="2:5" x14ac:dyDescent="0.2">
      <c r="B5" s="15" t="s">
        <v>70</v>
      </c>
      <c r="C5" s="16" t="s">
        <v>42</v>
      </c>
      <c r="E5" t="s">
        <v>117</v>
      </c>
    </row>
    <row r="6" spans="2:5" x14ac:dyDescent="0.2">
      <c r="B6" s="15" t="s">
        <v>11</v>
      </c>
      <c r="C6" s="17" t="s">
        <v>10</v>
      </c>
      <c r="E6" t="s">
        <v>118</v>
      </c>
    </row>
    <row r="7" spans="2:5" x14ac:dyDescent="0.2">
      <c r="B7" s="18" t="s">
        <v>71</v>
      </c>
      <c r="C7" s="17"/>
      <c r="E7" t="s">
        <v>119</v>
      </c>
    </row>
    <row r="8" spans="2:5" x14ac:dyDescent="0.2">
      <c r="B8" s="15" t="s">
        <v>73</v>
      </c>
      <c r="C8" s="17" t="s">
        <v>12</v>
      </c>
      <c r="E8"/>
    </row>
    <row r="9" spans="2:5" x14ac:dyDescent="0.2">
      <c r="B9" s="15" t="s">
        <v>13</v>
      </c>
      <c r="C9" s="17" t="s">
        <v>14</v>
      </c>
      <c r="E9" t="s">
        <v>120</v>
      </c>
    </row>
    <row r="10" spans="2:5" x14ac:dyDescent="0.2">
      <c r="B10" s="18" t="s">
        <v>74</v>
      </c>
      <c r="C10" s="17"/>
      <c r="E10" t="s">
        <v>121</v>
      </c>
    </row>
    <row r="11" spans="2:5" x14ac:dyDescent="0.2">
      <c r="B11" s="15" t="s">
        <v>15</v>
      </c>
      <c r="C11" s="17" t="s">
        <v>14</v>
      </c>
      <c r="E11" t="s">
        <v>122</v>
      </c>
    </row>
    <row r="12" spans="2:5" x14ac:dyDescent="0.2">
      <c r="B12" s="18" t="s">
        <v>75</v>
      </c>
      <c r="C12" s="17"/>
      <c r="E12" t="s">
        <v>124</v>
      </c>
    </row>
    <row r="13" spans="2:5" x14ac:dyDescent="0.2">
      <c r="B13" s="19" t="s">
        <v>16</v>
      </c>
      <c r="C13" s="17"/>
      <c r="E13" t="s">
        <v>123</v>
      </c>
    </row>
    <row r="14" spans="2:5" x14ac:dyDescent="0.2">
      <c r="B14" s="15" t="s">
        <v>17</v>
      </c>
      <c r="C14" s="17" t="s">
        <v>18</v>
      </c>
      <c r="E14" t="s">
        <v>125</v>
      </c>
    </row>
    <row r="15" spans="2:5" x14ac:dyDescent="0.2">
      <c r="B15" s="15" t="s">
        <v>19</v>
      </c>
      <c r="C15" s="17" t="s">
        <v>20</v>
      </c>
      <c r="E15" t="s">
        <v>126</v>
      </c>
    </row>
    <row r="16" spans="2:5" x14ac:dyDescent="0.2">
      <c r="B16" s="19" t="s">
        <v>9</v>
      </c>
      <c r="C16" s="17"/>
      <c r="E16" t="s">
        <v>127</v>
      </c>
    </row>
    <row r="17" spans="2:5" x14ac:dyDescent="0.2">
      <c r="B17" s="15" t="s">
        <v>21</v>
      </c>
      <c r="C17" s="17" t="s">
        <v>14</v>
      </c>
      <c r="E17" t="s">
        <v>128</v>
      </c>
    </row>
    <row r="18" spans="2:5" x14ac:dyDescent="0.2">
      <c r="B18" s="15" t="s">
        <v>22</v>
      </c>
      <c r="C18" s="17" t="s">
        <v>12</v>
      </c>
      <c r="E18" t="s">
        <v>129</v>
      </c>
    </row>
    <row r="19" spans="2:5" x14ac:dyDescent="0.2">
      <c r="B19" s="15" t="s">
        <v>23</v>
      </c>
      <c r="C19" s="17" t="s">
        <v>12</v>
      </c>
    </row>
    <row r="20" spans="2:5" x14ac:dyDescent="0.2">
      <c r="B20" s="15" t="s">
        <v>24</v>
      </c>
      <c r="C20" s="17" t="s">
        <v>25</v>
      </c>
    </row>
    <row r="21" spans="2:5" x14ac:dyDescent="0.2">
      <c r="B21" s="15" t="s">
        <v>76</v>
      </c>
      <c r="C21" s="17" t="s">
        <v>25</v>
      </c>
    </row>
    <row r="22" spans="2:5" ht="34" x14ac:dyDescent="0.2">
      <c r="B22" s="20" t="s">
        <v>79</v>
      </c>
      <c r="C22" s="17"/>
    </row>
    <row r="23" spans="2:5" x14ac:dyDescent="0.2">
      <c r="B23" s="15" t="s">
        <v>27</v>
      </c>
      <c r="C23" s="17" t="s">
        <v>14</v>
      </c>
    </row>
    <row r="24" spans="2:5" x14ac:dyDescent="0.2">
      <c r="B24" s="15" t="s">
        <v>77</v>
      </c>
      <c r="C24" s="17" t="s">
        <v>14</v>
      </c>
    </row>
    <row r="25" spans="2:5" x14ac:dyDescent="0.2">
      <c r="B25" s="18" t="s">
        <v>78</v>
      </c>
      <c r="C25" s="17"/>
    </row>
    <row r="26" spans="2:5" x14ac:dyDescent="0.2">
      <c r="B26" s="15" t="s">
        <v>30</v>
      </c>
      <c r="C26" s="17" t="s">
        <v>14</v>
      </c>
    </row>
    <row r="27" spans="2:5" x14ac:dyDescent="0.2">
      <c r="B27" s="15" t="s">
        <v>32</v>
      </c>
      <c r="C27" s="17" t="s">
        <v>14</v>
      </c>
    </row>
    <row r="28" spans="2:5" ht="34" x14ac:dyDescent="0.2">
      <c r="B28" s="20" t="s">
        <v>80</v>
      </c>
      <c r="C28" s="17"/>
    </row>
    <row r="29" spans="2:5" x14ac:dyDescent="0.2">
      <c r="B29" s="15" t="s">
        <v>33</v>
      </c>
      <c r="C29" s="17" t="s">
        <v>25</v>
      </c>
    </row>
    <row r="30" spans="2:5" ht="34" x14ac:dyDescent="0.2">
      <c r="B30" s="20" t="s">
        <v>81</v>
      </c>
      <c r="C30" s="17"/>
    </row>
    <row r="31" spans="2:5" x14ac:dyDescent="0.2">
      <c r="B31" s="15" t="s">
        <v>34</v>
      </c>
      <c r="C31" s="17" t="s">
        <v>25</v>
      </c>
    </row>
    <row r="32" spans="2:5" x14ac:dyDescent="0.2">
      <c r="B32" s="15" t="s">
        <v>82</v>
      </c>
      <c r="C32" s="17" t="s">
        <v>25</v>
      </c>
    </row>
    <row r="33" spans="2:3" x14ac:dyDescent="0.2">
      <c r="B33" s="15" t="s">
        <v>36</v>
      </c>
      <c r="C33" s="17" t="s">
        <v>25</v>
      </c>
    </row>
    <row r="34" spans="2:3" x14ac:dyDescent="0.2">
      <c r="B34" s="15" t="s">
        <v>37</v>
      </c>
      <c r="C34" s="17" t="s">
        <v>25</v>
      </c>
    </row>
    <row r="35" spans="2:3" x14ac:dyDescent="0.2">
      <c r="B35" s="19" t="s">
        <v>38</v>
      </c>
      <c r="C35" s="17"/>
    </row>
    <row r="36" spans="2:3" x14ac:dyDescent="0.2">
      <c r="B36" s="15" t="s">
        <v>83</v>
      </c>
      <c r="C36" s="17" t="s">
        <v>12</v>
      </c>
    </row>
    <row r="37" spans="2:3" x14ac:dyDescent="0.2">
      <c r="B37" s="15" t="s">
        <v>39</v>
      </c>
      <c r="C37" s="17" t="s">
        <v>12</v>
      </c>
    </row>
    <row r="38" spans="2:3" x14ac:dyDescent="0.2">
      <c r="B38" s="18" t="s">
        <v>85</v>
      </c>
      <c r="C38" s="17"/>
    </row>
    <row r="39" spans="2:3" x14ac:dyDescent="0.2">
      <c r="B39" s="15" t="s">
        <v>40</v>
      </c>
      <c r="C39" s="17" t="s">
        <v>4</v>
      </c>
    </row>
    <row r="40" spans="2:3" x14ac:dyDescent="0.2">
      <c r="B40" s="18" t="s">
        <v>84</v>
      </c>
      <c r="C40" s="17"/>
    </row>
    <row r="41" spans="2:3" x14ac:dyDescent="0.2">
      <c r="B41" s="15" t="s">
        <v>41</v>
      </c>
      <c r="C41" s="17" t="s">
        <v>42</v>
      </c>
    </row>
    <row r="42" spans="2:3" x14ac:dyDescent="0.2">
      <c r="B42" s="15" t="s">
        <v>43</v>
      </c>
      <c r="C42" s="17"/>
    </row>
    <row r="43" spans="2:3" x14ac:dyDescent="0.2">
      <c r="B43" s="15" t="s">
        <v>44</v>
      </c>
      <c r="C43" s="17" t="s">
        <v>42</v>
      </c>
    </row>
    <row r="44" spans="2:3" ht="34" x14ac:dyDescent="0.2">
      <c r="B44" s="20" t="s">
        <v>86</v>
      </c>
      <c r="C44" s="17"/>
    </row>
    <row r="45" spans="2:3" x14ac:dyDescent="0.2">
      <c r="B45" s="15" t="s">
        <v>45</v>
      </c>
      <c r="C45" s="17" t="s">
        <v>42</v>
      </c>
    </row>
    <row r="46" spans="2:3" x14ac:dyDescent="0.2">
      <c r="B46" s="15" t="s">
        <v>46</v>
      </c>
      <c r="C46" s="17" t="s">
        <v>42</v>
      </c>
    </row>
    <row r="47" spans="2:3" x14ac:dyDescent="0.2">
      <c r="B47" s="15" t="s">
        <v>47</v>
      </c>
      <c r="C47" s="17" t="s">
        <v>42</v>
      </c>
    </row>
    <row r="48" spans="2:3" x14ac:dyDescent="0.2">
      <c r="B48" s="18" t="s">
        <v>87</v>
      </c>
      <c r="C48" s="17"/>
    </row>
    <row r="49" spans="2:3" x14ac:dyDescent="0.2">
      <c r="B49" s="19" t="s">
        <v>48</v>
      </c>
      <c r="C49" s="17"/>
    </row>
    <row r="50" spans="2:3" x14ac:dyDescent="0.2">
      <c r="B50" s="15" t="s">
        <v>49</v>
      </c>
      <c r="C50" s="17" t="s">
        <v>50</v>
      </c>
    </row>
    <row r="51" spans="2:3" x14ac:dyDescent="0.2">
      <c r="B51" s="15" t="s">
        <v>51</v>
      </c>
      <c r="C51" s="17" t="s">
        <v>42</v>
      </c>
    </row>
    <row r="52" spans="2:3" ht="34" x14ac:dyDescent="0.2">
      <c r="B52" s="20" t="s">
        <v>88</v>
      </c>
      <c r="C52" s="17"/>
    </row>
    <row r="53" spans="2:3" x14ac:dyDescent="0.2">
      <c r="B53" s="15" t="s">
        <v>52</v>
      </c>
      <c r="C53" s="17" t="s">
        <v>12</v>
      </c>
    </row>
    <row r="54" spans="2:3" x14ac:dyDescent="0.2">
      <c r="B54" s="18" t="s">
        <v>97</v>
      </c>
      <c r="C54" s="17"/>
    </row>
    <row r="55" spans="2:3" x14ac:dyDescent="0.2">
      <c r="B55" s="19" t="s">
        <v>53</v>
      </c>
      <c r="C55" s="17"/>
    </row>
    <row r="56" spans="2:3" x14ac:dyDescent="0.2">
      <c r="B56" s="15" t="s">
        <v>54</v>
      </c>
      <c r="C56" s="17" t="s">
        <v>14</v>
      </c>
    </row>
    <row r="57" spans="2:3" x14ac:dyDescent="0.2">
      <c r="B57" s="18" t="s">
        <v>89</v>
      </c>
      <c r="C57" s="17"/>
    </row>
    <row r="58" spans="2:3" x14ac:dyDescent="0.2">
      <c r="B58" s="15" t="s">
        <v>55</v>
      </c>
      <c r="C58" s="17" t="s">
        <v>14</v>
      </c>
    </row>
    <row r="59" spans="2:3" ht="34" x14ac:dyDescent="0.2">
      <c r="B59" s="20" t="s">
        <v>90</v>
      </c>
      <c r="C59" s="17"/>
    </row>
    <row r="60" spans="2:3" x14ac:dyDescent="0.2">
      <c r="B60" s="15" t="s">
        <v>91</v>
      </c>
      <c r="C60" s="17" t="s">
        <v>25</v>
      </c>
    </row>
    <row r="61" spans="2:3" x14ac:dyDescent="0.2">
      <c r="B61" s="15" t="s">
        <v>92</v>
      </c>
      <c r="C61" s="17" t="s">
        <v>42</v>
      </c>
    </row>
    <row r="62" spans="2:3" x14ac:dyDescent="0.2">
      <c r="B62" s="18" t="s">
        <v>95</v>
      </c>
      <c r="C62" s="17"/>
    </row>
    <row r="63" spans="2:3" x14ac:dyDescent="0.2">
      <c r="B63" s="15" t="s">
        <v>93</v>
      </c>
      <c r="C63" s="17"/>
    </row>
    <row r="64" spans="2:3" x14ac:dyDescent="0.2">
      <c r="B64" s="18" t="s">
        <v>94</v>
      </c>
      <c r="C64" s="17"/>
    </row>
    <row r="65" spans="2:3" x14ac:dyDescent="0.2">
      <c r="B65" s="19" t="s">
        <v>59</v>
      </c>
      <c r="C65" s="17"/>
    </row>
    <row r="66" spans="2:3" x14ac:dyDescent="0.2">
      <c r="B66" s="15" t="s">
        <v>60</v>
      </c>
      <c r="C66" s="17" t="s">
        <v>14</v>
      </c>
    </row>
    <row r="67" spans="2:3" x14ac:dyDescent="0.2">
      <c r="B67" s="15" t="s">
        <v>61</v>
      </c>
      <c r="C67" s="17" t="s">
        <v>14</v>
      </c>
    </row>
    <row r="68" spans="2:3" x14ac:dyDescent="0.2">
      <c r="B68" s="15" t="s">
        <v>62</v>
      </c>
      <c r="C68" s="17" t="s">
        <v>12</v>
      </c>
    </row>
    <row r="69" spans="2:3" x14ac:dyDescent="0.2">
      <c r="B69" s="19" t="s">
        <v>63</v>
      </c>
      <c r="C69" s="17"/>
    </row>
    <row r="70" spans="2:3" x14ac:dyDescent="0.2">
      <c r="B70" s="15" t="s">
        <v>64</v>
      </c>
      <c r="C70" s="17"/>
    </row>
    <row r="71" spans="2:3" x14ac:dyDescent="0.2">
      <c r="B71" s="15" t="s">
        <v>65</v>
      </c>
      <c r="C71" s="17" t="s">
        <v>4</v>
      </c>
    </row>
    <row r="72" spans="2:3" x14ac:dyDescent="0.2">
      <c r="B72" s="15" t="s">
        <v>66</v>
      </c>
      <c r="C72" s="17" t="s">
        <v>25</v>
      </c>
    </row>
    <row r="73" spans="2:3" x14ac:dyDescent="0.2">
      <c r="B73" s="18" t="s">
        <v>96</v>
      </c>
      <c r="C73" s="17"/>
    </row>
    <row r="74" spans="2:3" x14ac:dyDescent="0.2">
      <c r="B74" s="15" t="s">
        <v>67</v>
      </c>
      <c r="C74" s="17" t="s">
        <v>12</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Mat. Electricos</vt:lpstr>
      <vt:lpstr>Mat. Sanit.</vt:lpstr>
      <vt:lpstr>Materiales</vt:lpstr>
      <vt:lpstr>PerimySup</vt:lpstr>
      <vt:lpstr>Aux</vt:lpstr>
      <vt:lpstr>Consultas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cp:lastPrinted>2026-09-09T18:32:32Z</cp:lastPrinted>
  <dcterms:created xsi:type="dcterms:W3CDTF">2026-08-04T10:10:53Z</dcterms:created>
  <dcterms:modified xsi:type="dcterms:W3CDTF">2026-10-01T21:31:43Z</dcterms:modified>
</cp:coreProperties>
</file>