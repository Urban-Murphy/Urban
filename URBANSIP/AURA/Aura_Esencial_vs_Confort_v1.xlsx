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encial vs Conf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USD &quot;#,##0;[Red]&quot;USD &quot;-#,##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2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165" fontId="0" fillId="2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40" customWidth="1" min="3" max="3"/>
    <col width="16" customWidth="1" min="4" max="4"/>
    <col width="46" customWidth="1" min="5" max="5"/>
  </cols>
  <sheetData>
    <row r="1">
      <c r="A1" s="1" t="inlineStr">
        <is>
          <t>AURA · Esencial vs Confort (v1, 04/10/26)</t>
        </is>
      </c>
    </row>
    <row r="2">
      <c r="A2" t="inlineStr">
        <is>
          <t>Amarillo = estimado de referencia (web o criterio), reemplazar por cotización real. Documento interno.</t>
        </is>
      </c>
    </row>
    <row r="3">
      <c r="A3" t="inlineStr">
        <is>
          <t>Dólar</t>
        </is>
      </c>
      <c r="B3" s="2" t="n">
        <v>1550</v>
      </c>
      <c r="C3" t="inlineStr">
        <is>
          <t>m²</t>
        </is>
      </c>
      <c r="D3" s="2" t="n">
        <v>73</v>
      </c>
    </row>
    <row r="5">
      <c r="A5" s="3" t="inlineStr">
        <is>
          <t>1. AJUSTES PARA QUE EL COSTO SEA SOLO ESENCIAL</t>
        </is>
      </c>
      <c r="B5" s="3" t="inlineStr">
        <is>
          <t>Hoy en el costo</t>
        </is>
      </c>
      <c r="C5" s="3" t="inlineStr">
        <is>
          <t>Esencial (ficha)</t>
        </is>
      </c>
      <c r="D5" s="3" t="inlineStr">
        <is>
          <t>Diferencia (USD)</t>
        </is>
      </c>
      <c r="E5" s="3" t="inlineStr">
        <is>
          <t>Fuente / criterio</t>
        </is>
      </c>
    </row>
    <row r="6">
      <c r="A6" s="4" t="inlineStr">
        <is>
          <t>Espejo + accesorios de baño</t>
        </is>
      </c>
      <c r="B6" s="4" t="inlineStr">
        <is>
          <t>Incluidos ($101.000)</t>
        </is>
      </c>
      <c r="C6" s="4" t="inlineStr">
        <is>
          <t>No incluye</t>
        </is>
      </c>
      <c r="D6" s="5" t="n">
        <v>-65</v>
      </c>
      <c r="E6" s="4" t="inlineStr">
        <is>
          <t>Excel de costos, hoja Aux</t>
        </is>
      </c>
    </row>
    <row r="7">
      <c r="A7" s="4" t="inlineStr">
        <is>
          <t>Extractor de baño</t>
        </is>
      </c>
      <c r="B7" s="4" t="inlineStr">
        <is>
          <t>Hidra 250 ($32.000)</t>
        </is>
      </c>
      <c r="C7" s="4" t="inlineStr">
        <is>
          <t>No incluye</t>
        </is>
      </c>
      <c r="D7" s="5" t="n">
        <v>-21</v>
      </c>
      <c r="E7" s="4" t="inlineStr">
        <is>
          <t>Excel de costos</t>
        </is>
      </c>
    </row>
    <row r="8">
      <c r="A8" s="4" t="inlineStr">
        <is>
          <t>Mueble de cocina</t>
        </is>
      </c>
      <c r="B8" s="4" t="inlineStr">
        <is>
          <t>4 ml con alacena e isla ($3.800.000)</t>
        </is>
      </c>
      <c r="C8" s="4" t="inlineStr">
        <is>
          <t>Solo bajo mesada</t>
        </is>
      </c>
      <c r="D8" s="5" t="n">
        <v>-860</v>
      </c>
      <c r="E8" s="4" t="inlineStr">
        <is>
          <t>Estimado: alacena ≈ 35% del mueble</t>
        </is>
      </c>
    </row>
    <row r="9">
      <c r="A9" s="4" t="inlineStr">
        <is>
          <t>Sanitarios</t>
        </is>
      </c>
      <c r="B9" s="4" t="inlineStr">
        <is>
          <t>Roca Mónaco</t>
        </is>
      </c>
      <c r="C9" s="4" t="inlineStr">
        <is>
          <t>Roca Capea</t>
        </is>
      </c>
      <c r="D9" s="5" t="n">
        <v>-100</v>
      </c>
      <c r="E9" s="4" t="inlineStr">
        <is>
          <t>Estimado</t>
        </is>
      </c>
    </row>
    <row r="10">
      <c r="A10" s="4" t="inlineStr">
        <is>
          <t>Griferías</t>
        </is>
      </c>
      <c r="B10" s="4" t="inlineStr">
        <is>
          <t>FV Alva + Hydros Viva</t>
        </is>
      </c>
      <c r="C10" s="4" t="inlineStr">
        <is>
          <t>Hidromet Minicucina + Small</t>
        </is>
      </c>
      <c r="D10" s="5" t="n">
        <v>-60</v>
      </c>
      <c r="E10" s="4" t="inlineStr">
        <is>
          <t>Hidromet Small ≈ $255.000 juego (Easy)</t>
        </is>
      </c>
    </row>
    <row r="11">
      <c r="A11" s="6" t="n"/>
      <c r="B11" s="6" t="n"/>
      <c r="C11" s="7" t="inlineStr">
        <is>
          <t>Total ajuste</t>
        </is>
      </c>
      <c r="D11" s="8">
        <f>SUM(D6:D10)</f>
        <v/>
      </c>
      <c r="E11" s="6" t="n"/>
    </row>
    <row r="12">
      <c r="A12" s="6" t="n"/>
      <c r="B12" s="6" t="n"/>
      <c r="C12" s="6" t="n"/>
      <c r="D12" s="6" t="n"/>
      <c r="E12" s="6" t="n"/>
    </row>
    <row r="13">
      <c r="A13" s="3" t="inlineStr">
        <is>
          <t>2. LO QUE SUMA CONFORT (materiales + colocación)</t>
        </is>
      </c>
      <c r="B13" s="3" t="inlineStr">
        <is>
          <t>Esencial</t>
        </is>
      </c>
      <c r="C13" s="3" t="inlineStr">
        <is>
          <t>Confort</t>
        </is>
      </c>
      <c r="D13" s="3" t="inlineStr">
        <is>
          <t>Diferencia (USD)</t>
        </is>
      </c>
      <c r="E13" s="3" t="inlineStr">
        <is>
          <t>Fuente / criterio</t>
        </is>
      </c>
    </row>
    <row r="14">
      <c r="A14" s="4" t="inlineStr">
        <is>
          <t>Aberturas</t>
        </is>
      </c>
      <c r="B14" s="4" t="inlineStr">
        <is>
          <t>Aluminio Módena + DVH ($5.000.000)</t>
        </is>
      </c>
      <c r="C14" s="4" t="inlineStr">
        <is>
          <t>PVC + DVH + mosquiteros</t>
        </is>
      </c>
      <c r="D14" s="5" t="n">
        <v>2260</v>
      </c>
      <c r="E14" s="4" t="inlineStr">
        <is>
          <t>PVC ≈ 70% más que aluminio (Servidos.ar 2026)</t>
        </is>
      </c>
    </row>
    <row r="15">
      <c r="A15" s="4" t="inlineStr">
        <is>
          <t>Puerta exterior</t>
        </is>
      </c>
      <c r="B15" s="4" t="inlineStr">
        <is>
          <t>Madera</t>
        </is>
      </c>
      <c r="C15" s="4" t="inlineStr">
        <is>
          <t>PVC</t>
        </is>
      </c>
      <c r="D15" s="5" t="n">
        <v>300</v>
      </c>
      <c r="E15" s="4" t="inlineStr">
        <is>
          <t>Estimado</t>
        </is>
      </c>
    </row>
    <row r="16">
      <c r="A16" s="4" t="inlineStr">
        <is>
          <t>Climatización</t>
        </is>
      </c>
      <c r="B16" s="4" t="inlineStr">
        <is>
          <t>Preinstalación</t>
        </is>
      </c>
      <c r="C16" s="4" t="inlineStr">
        <is>
          <t>2 equipos 2.500 fg + 1 de 3.000 fg inverter instalados</t>
        </is>
      </c>
      <c r="D16" s="5" t="n">
        <v>1740</v>
      </c>
      <c r="E16" s="4" t="inlineStr">
        <is>
          <t>Split 3.000 fg inverter $670.000-$960.000 (Frávega/Megatone) + instalación</t>
        </is>
      </c>
    </row>
    <row r="17">
      <c r="A17" s="4" t="inlineStr">
        <is>
          <t>Cocción</t>
        </is>
      </c>
      <c r="B17" s="4" t="inlineStr">
        <is>
          <t>Cocina eléctrica</t>
        </is>
      </c>
      <c r="C17" s="4" t="inlineStr">
        <is>
          <t>Anafe vitrocerámico + horno eléctrico empotrado</t>
        </is>
      </c>
      <c r="D17" s="5" t="n">
        <v>260</v>
      </c>
      <c r="E17" s="4" t="inlineStr">
        <is>
          <t>Anafe empotrable $185.000-$330.000 (ML) + horno</t>
        </is>
      </c>
    </row>
    <row r="18">
      <c r="A18" s="4" t="inlineStr">
        <is>
          <t>Extractor de cocina</t>
        </is>
      </c>
      <c r="B18" s="4" t="inlineStr">
        <is>
          <t>No</t>
        </is>
      </c>
      <c r="C18" s="4" t="inlineStr">
        <is>
          <t>Sí</t>
        </is>
      </c>
      <c r="D18" s="5" t="n">
        <v>160</v>
      </c>
      <c r="E18" s="4" t="inlineStr">
        <is>
          <t>Estimado</t>
        </is>
      </c>
    </row>
    <row r="19">
      <c r="A19" s="4" t="inlineStr">
        <is>
          <t>Mueble de cocina</t>
        </is>
      </c>
      <c r="B19" s="4" t="inlineStr">
        <is>
          <t>Bajo mesada</t>
        </is>
      </c>
      <c r="C19" s="4" t="inlineStr">
        <is>
          <t>Bajo mesada + alacena</t>
        </is>
      </c>
      <c r="D19" s="5" t="n">
        <v>860</v>
      </c>
      <c r="E19" s="4" t="inlineStr">
        <is>
          <t>Mismo valor que el ajuste 1</t>
        </is>
      </c>
    </row>
    <row r="20">
      <c r="A20" s="4" t="inlineStr">
        <is>
          <t>Mesada</t>
        </is>
      </c>
      <c r="B20" s="4" t="inlineStr">
        <is>
          <t>Granito gris mara</t>
        </is>
      </c>
      <c r="C20" s="4" t="inlineStr">
        <is>
          <t>Cuarzo</t>
        </is>
      </c>
      <c r="D20" s="5" t="n">
        <v>390</v>
      </c>
      <c r="E20" s="4" t="inlineStr">
        <is>
          <t>Estimado: 2,4 m² × +USD 160/m²</t>
        </is>
      </c>
    </row>
    <row r="21">
      <c r="A21" s="4" t="inlineStr">
        <is>
          <t>Baño: complementos</t>
        </is>
      </c>
      <c r="B21" s="4" t="inlineStr">
        <is>
          <t>Sin espejo, mampara ni accesorios</t>
        </is>
      </c>
      <c r="C21" s="4" t="inlineStr">
        <is>
          <t>Espejo LED + mampara + accesorios + extractor</t>
        </is>
      </c>
      <c r="D21" s="5" t="n">
        <v>375</v>
      </c>
      <c r="E21" s="4" t="inlineStr">
        <is>
          <t>Estimado</t>
        </is>
      </c>
    </row>
    <row r="22">
      <c r="A22" s="4" t="inlineStr">
        <is>
          <t>Sanitarios</t>
        </is>
      </c>
      <c r="B22" s="4" t="inlineStr">
        <is>
          <t>Roca Capea</t>
        </is>
      </c>
      <c r="C22" s="4" t="inlineStr">
        <is>
          <t>Roca Mónaco</t>
        </is>
      </c>
      <c r="D22" s="5" t="n">
        <v>100</v>
      </c>
      <c r="E22" s="4" t="inlineStr">
        <is>
          <t>Estimado</t>
        </is>
      </c>
    </row>
    <row r="23">
      <c r="A23" s="4" t="inlineStr">
        <is>
          <t>Griferías</t>
        </is>
      </c>
      <c r="B23" s="4" t="inlineStr">
        <is>
          <t>Hidromet Small / Minicucina</t>
        </is>
      </c>
      <c r="C23" s="4" t="inlineStr">
        <is>
          <t>Hidromet Raptor / Pro Flex</t>
        </is>
      </c>
      <c r="D23" s="5" t="n">
        <v>165</v>
      </c>
      <c r="E23" s="4" t="inlineStr">
        <is>
          <t>Estimado</t>
        </is>
      </c>
    </row>
    <row r="24">
      <c r="A24" s="4" t="inlineStr">
        <is>
          <t>Termotanque</t>
        </is>
      </c>
      <c r="B24" s="4" t="inlineStr">
        <is>
          <t>Señorial</t>
        </is>
      </c>
      <c r="C24" s="4" t="inlineStr">
        <is>
          <t>Ariston</t>
        </is>
      </c>
      <c r="D24" s="5" t="n">
        <v>130</v>
      </c>
      <c r="E24" s="4" t="inlineStr">
        <is>
          <t>Estimado</t>
        </is>
      </c>
    </row>
    <row r="25">
      <c r="A25" s="4" t="inlineStr">
        <is>
          <t>Presurizadora</t>
        </is>
      </c>
      <c r="B25" s="4" t="inlineStr">
        <is>
          <t>Opcional</t>
        </is>
      </c>
      <c r="C25" s="4" t="inlineStr">
        <is>
          <t>Incluida</t>
        </is>
      </c>
      <c r="D25" s="5" t="n">
        <v>225</v>
      </c>
      <c r="E25" s="4" t="inlineStr">
        <is>
          <t>Estimado, con instalación</t>
        </is>
      </c>
    </row>
    <row r="26">
      <c r="A26" s="4" t="inlineStr">
        <is>
          <t>Electricidad</t>
        </is>
      </c>
      <c r="B26" s="4" t="inlineStr">
        <is>
          <t>Jeluz estándar</t>
        </is>
      </c>
      <c r="C26" s="4" t="inlineStr">
        <is>
          <t>Cambre Siglo XXII</t>
        </is>
      </c>
      <c r="D26" s="5" t="n">
        <v>260</v>
      </c>
      <c r="E26" s="4" t="inlineStr">
        <is>
          <t>Estimado: 39 tapas + 47 módulos</t>
        </is>
      </c>
    </row>
    <row r="27">
      <c r="A27" s="4" t="inlineStr">
        <is>
          <t>Iluminación</t>
        </is>
      </c>
      <c r="B27" s="4" t="inlineStr">
        <is>
          <t>Sin artefactos</t>
        </is>
      </c>
      <c r="C27" s="4" t="inlineStr">
        <is>
          <t>Artefactos incluidos</t>
        </is>
      </c>
      <c r="D27" s="5" t="n">
        <v>370</v>
      </c>
      <c r="E27" s="4" t="inlineStr">
        <is>
          <t>Excel de costos, hoja Aux: $571.000</t>
        </is>
      </c>
    </row>
    <row r="28">
      <c r="A28" s="4" t="inlineStr">
        <is>
          <t>Placares</t>
        </is>
      </c>
      <c r="B28" s="4" t="inlineStr">
        <is>
          <t>Sin frente</t>
        </is>
      </c>
      <c r="C28" s="4" t="inlineStr">
        <is>
          <t>Frente incluido (2 dormitorios)</t>
        </is>
      </c>
      <c r="D28" s="5" t="n">
        <v>775</v>
      </c>
      <c r="E28" s="4" t="inlineStr">
        <is>
          <t>Estimado</t>
        </is>
      </c>
    </row>
    <row r="29">
      <c r="A29" s="4" t="inlineStr">
        <is>
          <t>Camino perimetral</t>
        </is>
      </c>
      <c r="B29" s="4" t="inlineStr">
        <is>
          <t>No</t>
        </is>
      </c>
      <c r="C29" s="4" t="inlineStr">
        <is>
          <t>0,80 m de ancho (≈ 32 m²)</t>
        </is>
      </c>
      <c r="D29" s="5" t="n">
        <v>1240</v>
      </c>
      <c r="E29" s="4" t="inlineStr">
        <is>
          <t>Estimado: contrapiso + carpeta + alisado</t>
        </is>
      </c>
    </row>
    <row r="30">
      <c r="A30" s="4" t="inlineStr">
        <is>
          <t>Fachada</t>
        </is>
      </c>
      <c r="B30" s="4" t="inlineStr">
        <is>
          <t>Siding + chapa</t>
        </is>
      </c>
      <c r="C30" s="4" t="inlineStr">
        <is>
          <t>Siding + chapa + revestimiento plástico</t>
        </is>
      </c>
      <c r="D30" s="5" t="n">
        <v>775</v>
      </c>
      <c r="E30" s="4" t="inlineStr">
        <is>
          <t>Estimado: ≈ 30 m²</t>
        </is>
      </c>
    </row>
    <row r="31">
      <c r="A31" s="4" t="inlineStr">
        <is>
          <t>Chapa de techo</t>
        </is>
      </c>
      <c r="B31" s="4" t="inlineStr">
        <is>
          <t>Zinc</t>
        </is>
      </c>
      <c r="C31" s="4" t="inlineStr">
        <is>
          <t>Color a elección</t>
        </is>
      </c>
      <c r="D31" s="5" t="n">
        <v>150</v>
      </c>
      <c r="E31" s="4" t="inlineStr">
        <is>
          <t>Estimado</t>
        </is>
      </c>
    </row>
    <row r="32">
      <c r="A32" s="4" t="inlineStr">
        <is>
          <t>Pisos</t>
        </is>
      </c>
      <c r="B32" s="4" t="inlineStr">
        <is>
          <t>Porcelanato / SPC</t>
        </is>
      </c>
      <c r="C32" s="4" t="inlineStr">
        <is>
          <t>Porcelanato rectificado</t>
        </is>
      </c>
      <c r="D32" s="5" t="n">
        <v>620</v>
      </c>
      <c r="E32" s="4" t="inlineStr">
        <is>
          <t>Estimado: 96 m² × +$10.000</t>
        </is>
      </c>
    </row>
    <row r="33">
      <c r="A33" s="4" t="inlineStr">
        <is>
          <t>Pintura</t>
        </is>
      </c>
      <c r="B33" s="4" t="inlineStr">
        <is>
          <t>Sinteplast Recuplast</t>
        </is>
      </c>
      <c r="C33" s="4" t="inlineStr">
        <is>
          <t>Alba Albalatex Ultra Lavable</t>
        </is>
      </c>
      <c r="D33" s="5" t="n">
        <v>100</v>
      </c>
      <c r="E33" s="4" t="inlineStr">
        <is>
          <t>Estimado</t>
        </is>
      </c>
    </row>
    <row r="34">
      <c r="A34" s="4" t="inlineStr">
        <is>
          <t>Puertas interiores</t>
        </is>
      </c>
      <c r="B34" s="4" t="inlineStr">
        <is>
          <t>Placorr moldurada</t>
        </is>
      </c>
      <c r="C34" s="4" t="inlineStr">
        <is>
          <t>Plac-Full texturada + contramarcos</t>
        </is>
      </c>
      <c r="D34" s="5" t="n">
        <v>195</v>
      </c>
      <c r="E34" s="4" t="inlineStr">
        <is>
          <t>Estimado</t>
        </is>
      </c>
    </row>
    <row r="35">
      <c r="A35" s="6" t="n"/>
      <c r="B35" s="6" t="n"/>
      <c r="C35" s="7" t="inlineStr">
        <is>
          <t>Total Confort extra</t>
        </is>
      </c>
      <c r="D35" s="8">
        <f>SUM(D14:D34)</f>
        <v/>
      </c>
      <c r="E35" s="6" t="n"/>
    </row>
    <row r="36">
      <c r="A36" s="6" t="n"/>
      <c r="B36" s="6" t="n"/>
      <c r="C36" s="6" t="n"/>
      <c r="D36" s="6" t="n"/>
      <c r="E36" s="6" t="n"/>
    </row>
    <row r="37">
      <c r="A37" s="3" t="inlineStr">
        <is>
          <t>3. RESUMEN</t>
        </is>
      </c>
      <c r="B37" s="3" t="inlineStr">
        <is>
          <t>ESENCIAL</t>
        </is>
      </c>
      <c r="C37" s="3" t="inlineStr">
        <is>
          <t>CONFORT</t>
        </is>
      </c>
      <c r="D37" s="3" t="inlineStr">
        <is>
          <t>Diferencia</t>
        </is>
      </c>
      <c r="E37" s="3" t="inlineStr"/>
    </row>
    <row r="38">
      <c r="A38" s="4" t="inlineStr">
        <is>
          <t>Costo directo actual (Aura_Esencial_Presupuesto_v1)</t>
        </is>
      </c>
      <c r="B38" s="5" t="n">
        <v>68955</v>
      </c>
      <c r="C38" s="9">
        <f>B38</f>
        <v/>
      </c>
      <c r="D38" s="9">
        <f>C38-B38</f>
        <v/>
      </c>
      <c r="E38" s="6" t="n"/>
    </row>
    <row r="39">
      <c r="A39" s="4" t="inlineStr">
        <is>
          <t>Ajuste a Esencial / extras Confort</t>
        </is>
      </c>
      <c r="B39" s="9">
        <f>D11</f>
        <v/>
      </c>
      <c r="C39" s="9">
        <f>D11+D35</f>
        <v/>
      </c>
      <c r="D39" s="9">
        <f>C39-B39</f>
        <v/>
      </c>
      <c r="E39" s="6" t="n"/>
    </row>
    <row r="40">
      <c r="A40" s="4" t="inlineStr">
        <is>
          <t>Mano de obra (USD 340 × m², ya incluida en el costo directo)</t>
        </is>
      </c>
      <c r="B40" s="9">
        <f>340*$D$3</f>
        <v/>
      </c>
      <c r="C40" s="9">
        <f>340*$D$3</f>
        <v/>
      </c>
      <c r="D40" s="10" t="n"/>
      <c r="E40" s="6" t="n"/>
    </row>
    <row r="41">
      <c r="A41" s="7" t="inlineStr">
        <is>
          <t>COSTO DIRECTO</t>
        </is>
      </c>
      <c r="B41" s="11">
        <f>B38+B39</f>
        <v/>
      </c>
      <c r="C41" s="11">
        <f>C38+C39</f>
        <v/>
      </c>
      <c r="D41" s="11">
        <f>C41-B41</f>
        <v/>
      </c>
      <c r="E41" s="6" t="n"/>
    </row>
    <row r="42">
      <c r="A42" s="4" t="inlineStr">
        <is>
          <t>Margen: 0,5 × mano de obra</t>
        </is>
      </c>
      <c r="B42" s="9">
        <f>B40*0.5</f>
        <v/>
      </c>
      <c r="C42" s="9">
        <f>C40*0.5</f>
        <v/>
      </c>
      <c r="D42" s="9">
        <f>C42-B42</f>
        <v/>
      </c>
      <c r="E42" s="6" t="n"/>
    </row>
    <row r="43">
      <c r="A43" s="4" t="inlineStr">
        <is>
          <t>Comisiones (1% José Luis + 2,5% vendedor)</t>
        </is>
      </c>
      <c r="B43" s="12" t="n">
        <v>0.035</v>
      </c>
      <c r="C43" s="12" t="n">
        <v>0.035</v>
      </c>
      <c r="D43" s="13" t="n"/>
      <c r="E43" s="6" t="n"/>
    </row>
    <row r="44">
      <c r="A44" s="4" t="inlineStr">
        <is>
          <t>PRECIO DE VENTA (fórmula)</t>
        </is>
      </c>
      <c r="B44" s="9">
        <f>(B41+B42)/(1-B43)</f>
        <v/>
      </c>
      <c r="C44" s="9">
        <f>(C41+C42)/(1-C43)</f>
        <v/>
      </c>
      <c r="D44" s="9">
        <f>C44-B44</f>
        <v/>
      </c>
      <c r="E44" s="6" t="n"/>
    </row>
    <row r="45">
      <c r="A45" s="4" t="inlineStr">
        <is>
          <t>Precio por m²</t>
        </is>
      </c>
      <c r="B45" s="9">
        <f>B44/$D$3</f>
        <v/>
      </c>
      <c r="C45" s="9">
        <f>C44/$D$3</f>
        <v/>
      </c>
      <c r="D45" s="9">
        <f>C45-B45</f>
        <v/>
      </c>
      <c r="E45" s="6" t="n"/>
    </row>
    <row r="46">
      <c r="A46" s="4" t="inlineStr">
        <is>
          <t>Precio de la ficha (Esencial 1.200/m², Confort 1.500/m²)</t>
        </is>
      </c>
      <c r="B46" s="9">
        <f>1200*$D$3</f>
        <v/>
      </c>
      <c r="C46" s="9">
        <f>1500*$D$3</f>
        <v/>
      </c>
      <c r="D46" s="9">
        <f>C46-B46</f>
        <v/>
      </c>
      <c r="E46" s="6" t="n"/>
    </row>
    <row r="47">
      <c r="A47" s="4" t="inlineStr">
        <is>
          <t>Ganancia neta a precio de ficha</t>
        </is>
      </c>
      <c r="B47" s="9">
        <f>B46*(1-B43)-B41</f>
        <v/>
      </c>
      <c r="C47" s="9">
        <f>C46*(1-C43)-C41</f>
        <v/>
      </c>
      <c r="D47" s="9">
        <f>C47-B47</f>
        <v/>
      </c>
      <c r="E47" s="6" t="n"/>
    </row>
    <row r="48">
      <c r="A48" s="4" t="inlineStr">
        <is>
          <t>Ganancia sobre precio de ficha</t>
        </is>
      </c>
      <c r="B48" s="14">
        <f>B47/B46</f>
        <v/>
      </c>
      <c r="C48" s="14">
        <f>C47/C46</f>
        <v/>
      </c>
      <c r="D48" s="13" t="n"/>
      <c r="E48" s="6" t="n"/>
    </row>
    <row r="50">
      <c r="A50" s="15" t="inlineStr">
        <is>
          <t>Lectura: Confort cuesta unos USD 11.450 más que Esencial, pero la ficha lo vende USD 21.900 más caro (300/m²). Confort deja bastante más ganancia.</t>
        </is>
      </c>
    </row>
    <row r="51">
      <c r="A51" s="15" t="inlineStr">
        <is>
          <t>Antes de publicar precios: cotizar aberturas de PVC, aires, camino perimetral, revestimiento plástico y placares (son el 70% de la diferencia).</t>
        </is>
      </c>
    </row>
    <row r="52">
      <c r="A52" s="15" t="inlineStr">
        <is>
          <t>Precios web consultados el 04/10/26: Frávega, Megatone, Easy, Mercado Libre, Servidos.ar.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2026-10-04T16:16:10Z</dcterms:created>
  <dcterms:modified xsi:type="dcterms:W3CDTF">2026-10-04T16:16:18Z</dcterms:modified>
</cp:coreProperties>
</file>