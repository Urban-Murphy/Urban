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rrores" sheetId="2" state="visible" r:id="rId2"/>
    <sheet name="Faltantes" sheetId="3" state="visible" r:id="rId3"/>
    <sheet name="Confort col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&quot; m²&quot;"/>
    <numFmt numFmtId="165" formatCode="&quot;USD &quot;#,##0"/>
    <numFmt numFmtId="166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9C0006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F5233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3" fontId="0" fillId="2" borderId="1" pivotButton="0" quotePrefix="0" xfId="0"/>
    <xf numFmtId="164" fontId="0" fillId="2" borderId="1" pivotButton="0" quotePrefix="0" xfId="0"/>
    <xf numFmtId="3" fontId="0" fillId="0" borderId="1" pivotButton="0" quotePrefix="0" xfId="0"/>
    <xf numFmtId="165" fontId="0" fillId="0" borderId="1" pivotButton="0" quotePrefix="0" xfId="0"/>
    <xf numFmtId="2" fontId="0" fillId="2" borderId="1" pivotButton="0" quotePrefix="0" xfId="0"/>
    <xf numFmtId="0" fontId="2" fillId="0" borderId="1" pivotButton="0" quotePrefix="0" xfId="0"/>
    <xf numFmtId="165" fontId="2" fillId="0" borderId="1" pivotButton="0" quotePrefix="0" xfId="0"/>
    <xf numFmtId="165" fontId="0" fillId="2" borderId="1" pivotButton="0" quotePrefix="0" xfId="0"/>
    <xf numFmtId="166" fontId="0" fillId="0" borderId="1" pivotButton="0" quotePrefix="0" xfId="0"/>
    <xf numFmtId="9" fontId="0" fillId="2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3" fontId="2" fillId="0" borderId="1" pivotButton="0" quotePrefix="0" xfId="0"/>
    <xf numFmtId="165" fontId="0" fillId="2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62" customWidth="1" min="1" max="1"/>
    <col width="22" customWidth="1" min="2" max="2"/>
  </cols>
  <sheetData>
    <row r="1">
      <c r="A1" s="1" t="inlineStr">
        <is>
          <t>AURA ESENCIAL · Revisión del costo al 30/09/26</t>
        </is>
      </c>
    </row>
    <row r="2">
      <c r="A2" t="inlineStr">
        <is>
          <t>Celdas amarillas: valores que podés cambiar. El resto se calcula solo.</t>
        </is>
      </c>
    </row>
    <row r="3">
      <c r="A3" s="2" t="inlineStr">
        <is>
          <t>Dólar (BNA venta 30/09/26)</t>
        </is>
      </c>
      <c r="B3" s="3" t="n">
        <v>1550</v>
      </c>
    </row>
    <row r="4">
      <c r="A4" s="2" t="inlineStr">
        <is>
          <t>Superficie cubierta (presupuesto SIPCOR #2790, 08/09/26)</t>
        </is>
      </c>
      <c r="B4" s="4" t="n">
        <v>73</v>
      </c>
    </row>
    <row r="5">
      <c r="A5" s="2" t="inlineStr">
        <is>
          <t>Costo materiales según Excel (ARS)</t>
        </is>
      </c>
      <c r="B5" s="5" t="n">
        <v>82387681.65000001</v>
      </c>
    </row>
    <row r="6">
      <c r="A6" s="2" t="inlineStr">
        <is>
          <t>Menos: errores detectados (ver hoja Errores)</t>
        </is>
      </c>
      <c r="B6" s="5">
        <f>Errores!F8</f>
        <v/>
      </c>
    </row>
    <row r="7">
      <c r="A7" s="2" t="inlineStr">
        <is>
          <t>Costo materiales corregido (ARS)</t>
        </is>
      </c>
      <c r="B7" s="5">
        <f>B5-B6</f>
        <v/>
      </c>
    </row>
    <row r="8">
      <c r="A8" s="2" t="inlineStr">
        <is>
          <t>Costo materiales corregido (USD)</t>
        </is>
      </c>
      <c r="B8" s="6">
        <f>B7/B3</f>
        <v/>
      </c>
    </row>
    <row r="9">
      <c r="A9" s="2" t="inlineStr">
        <is>
          <t>Mano de obra llave en mano (u$s/m², planilla MdeO)</t>
        </is>
      </c>
      <c r="B9" s="7" t="n">
        <v>180.29</v>
      </c>
      <c r="C9" t="inlineStr">
        <is>
          <t>Corregido: $20.400.000 de jornales / $1.550 / 73 m². El 263,83 contaba dos veces el montaje del kit.</t>
        </is>
      </c>
    </row>
    <row r="10">
      <c r="A10" s="2" t="inlineStr">
        <is>
          <t>Mano de obra total (USD)</t>
        </is>
      </c>
      <c r="B10" s="6">
        <f>B9*B4</f>
        <v/>
      </c>
    </row>
    <row r="11">
      <c r="A11" s="8" t="inlineStr">
        <is>
          <t>COSTO DIRECTO (USD)</t>
        </is>
      </c>
      <c r="B11" s="9">
        <f>B8+B10</f>
        <v/>
      </c>
    </row>
    <row r="12">
      <c r="A12" s="2" t="inlineStr">
        <is>
          <t>Costo directo por m² (USD)</t>
        </is>
      </c>
      <c r="B12" s="6">
        <f>B11/B4</f>
        <v/>
      </c>
    </row>
    <row r="13">
      <c r="A13" s="2" t="inlineStr"/>
    </row>
    <row r="14">
      <c r="A14" s="2" t="inlineStr">
        <is>
          <t>Precio de venta Esencial según ficha (USD)</t>
        </is>
      </c>
      <c r="B14" s="10" t="n">
        <v>86400</v>
      </c>
    </row>
    <row r="15">
      <c r="A15" s="2" t="inlineStr">
        <is>
          <t>Diferencia precio − costo directo (USD)</t>
        </is>
      </c>
      <c r="B15" s="6">
        <f>B14-B11</f>
        <v/>
      </c>
    </row>
    <row r="16">
      <c r="A16" s="2" t="inlineStr">
        <is>
          <t>Diferencia sobre precio (%)</t>
        </is>
      </c>
      <c r="B16" s="11">
        <f>B15/B14</f>
        <v/>
      </c>
    </row>
    <row r="17">
      <c r="A17" s="2" t="inlineStr"/>
    </row>
    <row r="18">
      <c r="A18" s="2" t="inlineStr">
        <is>
          <t>De esta diferencia todavía hay que restar:</t>
        </is>
      </c>
      <c r="B18" s="2" t="inlineStr"/>
    </row>
    <row r="19">
      <c r="A19" s="2" t="inlineStr">
        <is>
          <t>· Comisión de venta (Excel usa 5%)</t>
        </is>
      </c>
      <c r="B19" s="6">
        <f>B14*B20</f>
        <v/>
      </c>
    </row>
    <row r="20">
      <c r="A20" s="2" t="inlineStr">
        <is>
          <t xml:space="preserve">   % comisión</t>
        </is>
      </c>
      <c r="B20" s="12" t="n">
        <v>0.05</v>
      </c>
    </row>
    <row r="21">
      <c r="A21" s="2" t="inlineStr">
        <is>
          <t>· Faltantes de la ficha Esencial (estimado, ver hoja Faltantes)</t>
        </is>
      </c>
      <c r="B21" s="6">
        <f>Faltantes!E15</f>
        <v/>
      </c>
    </row>
    <row r="22">
      <c r="A22" s="2" t="inlineStr">
        <is>
          <t>· Proyecto, dirección de obra, logística 50 km, gastos generales</t>
        </is>
      </c>
      <c r="B22" s="2" t="inlineStr">
        <is>
          <t>a definir por Adrián</t>
        </is>
      </c>
    </row>
    <row r="23">
      <c r="A23" s="8" t="inlineStr">
        <is>
          <t>MARGEN ANTES DE GASTOS GENERALES (USD)</t>
        </is>
      </c>
      <c r="B23" s="9">
        <f>B15-B19-B21</f>
        <v/>
      </c>
    </row>
    <row r="24">
      <c r="A24" s="2" t="inlineStr">
        <is>
          <t>Margen sobre precio (%)</t>
        </is>
      </c>
      <c r="B24" s="11">
        <f>B23/B14</f>
        <v/>
      </c>
    </row>
    <row r="27">
      <c r="A27" s="13" t="inlineStr">
        <is>
          <t>Ojo: si la mano de obra de instalaciones ya está en el Excel de materiales (ver Errores, punto 4), el costo baja unos USD 2.600 más.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2" customWidth="1" min="3" max="3"/>
    <col width="42" customWidth="1" min="4" max="4"/>
    <col width="16" customWidth="1" min="5" max="5"/>
    <col width="16" customWidth="1" min="6" max="6"/>
    <col width="14" customWidth="1" min="7" max="7"/>
  </cols>
  <sheetData>
    <row r="1">
      <c r="A1" s="14" t="inlineStr">
        <is>
          <t>Errores de cálculo en 'Aura Costo 30-9-26.xlsx', hoja Materiales</t>
        </is>
      </c>
    </row>
    <row r="3">
      <c r="A3" s="15" t="inlineStr">
        <is>
          <t>#</t>
        </is>
      </c>
      <c r="B3" s="15" t="inlineStr">
        <is>
          <t>Ítem</t>
        </is>
      </c>
      <c r="C3" s="15" t="inlineStr">
        <is>
          <t>Cómo está</t>
        </is>
      </c>
      <c r="D3" s="15" t="inlineStr">
        <is>
          <t>Cómo debería ser</t>
        </is>
      </c>
      <c r="E3" s="15" t="inlineStr">
        <is>
          <t>Importe en Excel (ARS)</t>
        </is>
      </c>
      <c r="F3" s="15" t="inlineStr">
        <is>
          <t>Sobrecosto (ARS)</t>
        </is>
      </c>
      <c r="G3" s="15" t="inlineStr">
        <is>
          <t>Sobrecosto (USD)</t>
        </is>
      </c>
    </row>
    <row r="4">
      <c r="A4" s="16" t="n">
        <v>1</v>
      </c>
      <c r="B4" s="16" t="inlineStr">
        <is>
          <t>Contrapiso interior 12 cm</t>
        </is>
      </c>
      <c r="C4" s="16" t="inlineStr">
        <is>
          <t>62,7 m² × $104.207 (es el precio por m³, no por m²)</t>
        </is>
      </c>
      <c r="D4" s="16" t="inlineStr">
        <is>
          <t>62,7 m² × $12.505 por m² (= 7,52 m³ × $104.207)</t>
        </is>
      </c>
      <c r="E4" s="17" t="n">
        <v>6533803.98</v>
      </c>
      <c r="F4" s="17">
        <f>E4-62.7*12504.888</f>
        <v/>
      </c>
      <c r="G4" s="18">
        <f>F4/Resumen!$B$3</f>
        <v/>
      </c>
    </row>
    <row r="5">
      <c r="A5" s="16" t="n">
        <v>2</v>
      </c>
      <c r="B5" s="16" t="inlineStr">
        <is>
          <t>Carpeta de cemento 2 cm (62,7 m²)</t>
        </is>
      </c>
      <c r="C5" s="16" t="inlineStr">
        <is>
          <t>Duplicada: además usa el precio del contrapiso exterior</t>
        </is>
      </c>
      <c r="D5" s="16" t="inlineStr">
        <is>
          <t>Eliminar: la fila 'Carpeta de cemento' de 88,7 m² ya cubre toda la carpeta</t>
        </is>
      </c>
      <c r="E5" s="17" t="n">
        <v>784056.48</v>
      </c>
      <c r="F5" s="17">
        <f>E5</f>
        <v/>
      </c>
      <c r="G5" s="18">
        <f>F5/Resumen!$B$3</f>
        <v/>
      </c>
    </row>
    <row r="6">
      <c r="A6" s="16" t="n">
        <v>3</v>
      </c>
      <c r="B6" s="16" t="inlineStr">
        <is>
          <t>Mesadas granito gris mara</t>
        </is>
      </c>
      <c r="C6" s="16" t="inlineStr">
        <is>
          <t>24 m² × $290.000</t>
        </is>
      </c>
      <c r="D6" s="16" t="inlineStr">
        <is>
          <t>2,4 m² (4 ml de mueble × 0,60 m) × $290.000</t>
        </is>
      </c>
      <c r="E6" s="17" t="n">
        <v>6960000</v>
      </c>
      <c r="F6" s="17">
        <f>E6-2.4*290000</f>
        <v/>
      </c>
      <c r="G6" s="18">
        <f>F6/Resumen!$B$3</f>
        <v/>
      </c>
    </row>
    <row r="7">
      <c r="A7" s="23" t="n">
        <v>4</v>
      </c>
      <c r="B7" s="23" t="inlineStr">
        <is>
          <t>Kit de paneles SIPCOR</t>
        </is>
      </c>
      <c r="C7" s="23" t="inlineStr">
        <is>
          <t>$26.928.565 = USD 17.600,37 al dólar $1.530 (7/9)</t>
        </is>
      </c>
      <c r="D7" s="23" t="inlineStr">
        <is>
          <t>USD 17.600,37 al dólar del costo ($1.550) = $27.280.574</t>
        </is>
      </c>
      <c r="E7" s="24" t="n">
        <v>26928565.49</v>
      </c>
      <c r="F7" s="24">
        <f>E7-17600.37*Resumen!B3</f>
        <v/>
      </c>
      <c r="G7" s="25">
        <f>F7/Resumen!$B$3</f>
        <v/>
      </c>
    </row>
    <row r="8">
      <c r="E8" s="8" t="inlineStr">
        <is>
          <t>TOTAL</t>
        </is>
      </c>
      <c r="F8" s="19">
        <f>SUM(F4:F7)</f>
        <v/>
      </c>
      <c r="G8" s="9">
        <f>F8/Resumen!B3</f>
        <v/>
      </c>
    </row>
    <row r="10">
      <c r="A10" s="8" t="inlineStr">
        <is>
          <t>A verificar (no se descontó):</t>
        </is>
      </c>
    </row>
    <row r="11" ht="60" customHeight="1">
      <c r="A11" s="2" t="n">
        <v>5</v>
      </c>
      <c r="B11" s="2" t="inlineStr">
        <is>
          <t>Mano de obra sanitaria y eléctrica</t>
        </is>
      </c>
      <c r="C11" s="16" t="inlineStr">
        <is>
          <t>Está en el Excel de materiales ($850.000 + $3.240.000) y la planilla de mano de obra también tiene días de instalaciones. Puede estar contada dos veces (≈ USD 2.640).</t>
        </is>
      </c>
      <c r="D11" s="21" t="n"/>
      <c r="E11" s="21" t="n"/>
      <c r="F11" s="21" t="n"/>
      <c r="G11" s="22" t="n"/>
    </row>
    <row r="12" ht="60" customHeight="1">
      <c r="A12" s="2" t="n">
        <v>6</v>
      </c>
      <c r="B12" s="2" t="inlineStr">
        <is>
          <t>Superficie</t>
        </is>
      </c>
      <c r="C12" s="16" t="inlineStr">
        <is>
          <t>Definido: 73 m² cubiertos (presupuesto SIPCOR #2790). El Excel de costos usaba 78 m² y la ficha y la planilla de mano de obra, 72 m². Hay que corregir la ficha.</t>
        </is>
      </c>
      <c r="D12" s="21" t="n"/>
      <c r="E12" s="21" t="n"/>
      <c r="F12" s="21" t="n"/>
      <c r="G12" s="22" t="n"/>
    </row>
    <row r="13" ht="60" customHeight="1">
      <c r="A13" s="2" t="n">
        <v>7</v>
      </c>
      <c r="B13" s="2" t="inlineStr">
        <is>
          <t>Cubierta</t>
        </is>
      </c>
      <c r="C13" s="16" t="inlineStr">
        <is>
          <t>Definido por Adrián: paneles SIP 50 de techo (incluidos en el kit SIPCOR: 55 paneles MDF ranurado, con membrana hidrófuga y Easy Band) + cabios de madera + alfajías + clavaderas 2×2 + chapa. El Excel de costos tiene todo eso. OK.</t>
        </is>
      </c>
      <c r="D13" s="21" t="n"/>
      <c r="E13" s="21" t="n"/>
      <c r="F13" s="21" t="n"/>
      <c r="G13" s="22" t="n"/>
    </row>
    <row r="14" ht="60" customHeight="1">
      <c r="A14" t="n">
        <v>8</v>
      </c>
      <c r="B14" t="inlineStr">
        <is>
          <t>Sellado adicional ($956.000)</t>
        </is>
      </c>
      <c r="C14" s="23" t="inlineStr">
        <is>
          <t>El kit SIPCOR ya incluye cola PUR, espuma de poliuretano, membrana líquida y Flexi Band. La línea 'Materiales de sellado adicionales' del Excel repite casi lo mismo (≈ USD 620).</t>
        </is>
      </c>
    </row>
  </sheetData>
  <mergeCells count="4">
    <mergeCell ref="C11:G11"/>
    <mergeCell ref="C13:G13"/>
    <mergeCell ref="C12:G12"/>
    <mergeCell ref="C14:G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44" customWidth="1" min="3" max="3"/>
    <col width="20" customWidth="1" min="4" max="4"/>
    <col width="16" customWidth="1" min="5" max="5"/>
  </cols>
  <sheetData>
    <row r="1">
      <c r="A1" s="14" t="inlineStr">
        <is>
          <t>Lo que promete la ficha ESENCIAL y no está en el Excel de costos</t>
        </is>
      </c>
    </row>
    <row r="2">
      <c r="A2" t="inlineStr">
        <is>
          <t>Montos estimados de referencia (amarillo): reemplazalos por precios reales.</t>
        </is>
      </c>
    </row>
    <row r="3">
      <c r="A3" s="15" t="inlineStr">
        <is>
          <t>Rubro</t>
        </is>
      </c>
      <c r="B3" s="15" t="inlineStr">
        <is>
          <t>Ficha Esencial dice</t>
        </is>
      </c>
      <c r="C3" s="15" t="inlineStr">
        <is>
          <t>Excel de costos tiene</t>
        </is>
      </c>
      <c r="D3" s="15" t="inlineStr">
        <is>
          <t>Acción</t>
        </is>
      </c>
      <c r="E3" s="15" t="inlineStr">
        <is>
          <t>Estimado (USD)</t>
        </is>
      </c>
    </row>
    <row r="4">
      <c r="A4" s="2" t="inlineStr">
        <is>
          <t>Agua caliente</t>
        </is>
      </c>
      <c r="B4" s="2" t="inlineStr">
        <is>
          <t>Termotanque eléctrico Señorial</t>
        </is>
      </c>
      <c r="C4" s="2" t="inlineStr">
        <is>
          <t>Nada</t>
        </is>
      </c>
      <c r="D4" s="2" t="inlineStr">
        <is>
          <t>Agregar</t>
        </is>
      </c>
      <c r="E4" s="10" t="n">
        <v>250</v>
      </c>
    </row>
    <row r="5">
      <c r="A5" s="2" t="inlineStr">
        <is>
          <t>Cocción</t>
        </is>
      </c>
      <c r="B5" s="2" t="inlineStr">
        <is>
          <t>Cocina eléctrica</t>
        </is>
      </c>
      <c r="C5" s="2" t="inlineStr">
        <is>
          <t>Nada</t>
        </is>
      </c>
      <c r="D5" s="2" t="inlineStr">
        <is>
          <t>Agregar</t>
        </is>
      </c>
      <c r="E5" s="10" t="n">
        <v>450</v>
      </c>
    </row>
    <row r="6">
      <c r="A6" s="2" t="inlineStr">
        <is>
          <t>Climatización</t>
        </is>
      </c>
      <c r="B6" s="2" t="inlineStr">
        <is>
          <t>Preinstalación de aire acondicionado</t>
        </is>
      </c>
      <c r="C6" s="2" t="inlineStr">
        <is>
          <t>Bocas eléctricas sí; cañerías de cobre/desagüe no</t>
        </is>
      </c>
      <c r="D6" s="2" t="inlineStr">
        <is>
          <t>Agregar</t>
        </is>
      </c>
      <c r="E6" s="10" t="n">
        <v>450</v>
      </c>
    </row>
    <row r="7">
      <c r="A7" s="2" t="inlineStr">
        <is>
          <t>Envolvente</t>
        </is>
      </c>
      <c r="B7" s="2" t="inlineStr">
        <is>
          <t>Membrana Rothoblaas TRASPIR 110</t>
        </is>
      </c>
      <c r="C7" s="2" t="inlineStr">
        <is>
          <t>Incluida en el kit SIPCOR (membrana hidrófuga + Flexi Band + Easy Band)</t>
        </is>
      </c>
      <c r="D7" s="2" t="inlineStr">
        <is>
          <t>OK</t>
        </is>
      </c>
      <c r="E7" s="10" t="n">
        <v>0</v>
      </c>
    </row>
    <row r="8">
      <c r="A8" s="2" t="inlineStr">
        <is>
          <t>Pintura exterior</t>
        </is>
      </c>
      <c r="B8" s="2" t="inlineStr">
        <is>
          <t>Siding pintado (la mano de obra lo prevé)</t>
        </is>
      </c>
      <c r="C8" s="2" t="inlineStr">
        <is>
          <t>Sin material de pintura exterior</t>
        </is>
      </c>
      <c r="D8" s="2" t="inlineStr">
        <is>
          <t>Agregar</t>
        </is>
      </c>
      <c r="E8" s="10" t="n">
        <v>500</v>
      </c>
    </row>
    <row r="9">
      <c r="A9" s="2" t="inlineStr">
        <is>
          <t>Puertas interiores</t>
        </is>
      </c>
      <c r="B9" s="2" t="inlineStr">
        <is>
          <t>Placorr moldurada + marco MDF</t>
        </is>
      </c>
      <c r="C9" s="2" t="inlineStr">
        <is>
          <t>'Marco madera' $260.000 c/u</t>
        </is>
      </c>
      <c r="D9" s="2" t="inlineStr">
        <is>
          <t>Revisar precio</t>
        </is>
      </c>
      <c r="E9" s="10" t="n">
        <v>0</v>
      </c>
    </row>
    <row r="10">
      <c r="A10" s="2" t="inlineStr">
        <is>
          <t>Puerta exterior</t>
        </is>
      </c>
      <c r="B10" s="2" t="inlineStr">
        <is>
          <t>Madera</t>
        </is>
      </c>
      <c r="C10" s="2" t="inlineStr">
        <is>
          <t>$1.900.000</t>
        </is>
      </c>
      <c r="D10" s="2" t="inlineStr">
        <is>
          <t>OK, confirmar modelo</t>
        </is>
      </c>
      <c r="E10" s="10" t="n">
        <v>0</v>
      </c>
    </row>
    <row r="11">
      <c r="A11" s="2" t="inlineStr">
        <is>
          <t>Pisos</t>
        </is>
      </c>
      <c r="B11" s="2" t="inlineStr">
        <is>
          <t>SPC símil madera o porcelánico</t>
        </is>
      </c>
      <c r="C11" s="2" t="inlineStr">
        <is>
          <t>Porcelanato símil madera 19×120</t>
        </is>
      </c>
      <c r="D11" s="2" t="inlineStr">
        <is>
          <t>OK, definir</t>
        </is>
      </c>
      <c r="E11" s="10" t="n">
        <v>0</v>
      </c>
    </row>
    <row r="12">
      <c r="A12" s="2" t="inlineStr">
        <is>
          <t>Proyecto + dirección de obra</t>
        </is>
      </c>
      <c r="B12" s="2" t="inlineStr">
        <is>
          <t>Incluidos</t>
        </is>
      </c>
      <c r="C12" s="2" t="inlineStr">
        <is>
          <t>Nada</t>
        </is>
      </c>
      <c r="D12" s="2" t="inlineStr">
        <is>
          <t>Definir criterio</t>
        </is>
      </c>
      <c r="E12" s="20" t="n"/>
    </row>
    <row r="13">
      <c r="A13" s="2" t="inlineStr">
        <is>
          <t>Logística hasta 50 km</t>
        </is>
      </c>
      <c r="B13" s="2" t="inlineStr">
        <is>
          <t>Incluida</t>
        </is>
      </c>
      <c r="C13" s="2" t="inlineStr">
        <is>
          <t>Nada</t>
        </is>
      </c>
      <c r="D13" s="2" t="inlineStr">
        <is>
          <t>Definir criterio</t>
        </is>
      </c>
      <c r="E13" s="20" t="n"/>
    </row>
    <row r="15">
      <c r="D15" s="8" t="inlineStr">
        <is>
          <t>TOTAL ESTIMADO</t>
        </is>
      </c>
      <c r="E15" s="9">
        <f>SUM(E4:E13)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30" customWidth="1" min="3" max="3"/>
    <col width="30" customWidth="1" min="4" max="4"/>
  </cols>
  <sheetData>
    <row r="1">
      <c r="A1" s="14" t="inlineStr">
        <is>
          <t>Ítems del Excel que según la ficha son de CONFORT (encarecen el Esencial)</t>
        </is>
      </c>
    </row>
    <row r="3">
      <c r="A3" s="15" t="inlineStr">
        <is>
          <t>Ítem</t>
        </is>
      </c>
      <c r="B3" s="15" t="inlineStr">
        <is>
          <t>Excel de costos</t>
        </is>
      </c>
      <c r="C3" s="15" t="inlineStr">
        <is>
          <t>Ficha Esencial</t>
        </is>
      </c>
      <c r="D3" s="15" t="inlineStr">
        <is>
          <t>Ficha Confort</t>
        </is>
      </c>
    </row>
    <row r="4">
      <c r="A4" s="2" t="inlineStr">
        <is>
          <t>Juego de baño</t>
        </is>
      </c>
      <c r="B4" s="2" t="inlineStr">
        <is>
          <t>Roca Mónaco</t>
        </is>
      </c>
      <c r="C4" s="2" t="inlineStr">
        <is>
          <t>Roca Capea</t>
        </is>
      </c>
      <c r="D4" s="2" t="inlineStr">
        <is>
          <t>Roca Mónaco</t>
        </is>
      </c>
    </row>
    <row r="5">
      <c r="A5" s="2" t="inlineStr">
        <is>
          <t>Espejo</t>
        </is>
      </c>
      <c r="B5" s="2" t="inlineStr">
        <is>
          <t>Incluido ($51.000)</t>
        </is>
      </c>
      <c r="C5" s="2" t="inlineStr">
        <is>
          <t>No incluye</t>
        </is>
      </c>
      <c r="D5" s="2" t="inlineStr">
        <is>
          <t>Espejo LED</t>
        </is>
      </c>
    </row>
    <row r="6">
      <c r="A6" s="2" t="inlineStr">
        <is>
          <t>Accesorios de baño</t>
        </is>
      </c>
      <c r="B6" s="2" t="inlineStr">
        <is>
          <t>Incluidos ($50.000)</t>
        </is>
      </c>
      <c r="C6" s="2" t="inlineStr">
        <is>
          <t>No incluye</t>
        </is>
      </c>
      <c r="D6" s="2" t="inlineStr">
        <is>
          <t>Incluidos</t>
        </is>
      </c>
    </row>
    <row r="7">
      <c r="A7" s="2" t="inlineStr">
        <is>
          <t>Extractor baño</t>
        </is>
      </c>
      <c r="B7" s="2" t="inlineStr">
        <is>
          <t>Hidra 250 incluido</t>
        </is>
      </c>
      <c r="C7" s="2" t="inlineStr">
        <is>
          <t>No incluye</t>
        </is>
      </c>
      <c r="D7" s="2" t="inlineStr">
        <is>
          <t>Incluido</t>
        </is>
      </c>
    </row>
    <row r="8">
      <c r="A8" s="2" t="inlineStr">
        <is>
          <t>Sellado</t>
        </is>
      </c>
      <c r="B8" s="2" t="inlineStr">
        <is>
          <t>Flexi Band Rothoblaas ($600.000)</t>
        </is>
      </c>
      <c r="C8" s="2" t="inlineStr">
        <is>
          <t>Sellado estándar</t>
        </is>
      </c>
      <c r="D8" s="2" t="inlineStr">
        <is>
          <t>Flexi Band / Easy Band</t>
        </is>
      </c>
    </row>
    <row r="9">
      <c r="A9" s="2" t="inlineStr">
        <is>
          <t>Mueble cocina</t>
        </is>
      </c>
      <c r="B9" s="2" t="inlineStr">
        <is>
          <t>4 ml (diseño con alacena e isla)</t>
        </is>
      </c>
      <c r="C9" s="2" t="inlineStr">
        <is>
          <t>Solo bajo mesada</t>
        </is>
      </c>
      <c r="D9" s="2" t="inlineStr">
        <is>
          <t>Bajo mesada + alacena</t>
        </is>
      </c>
    </row>
    <row r="10">
      <c r="A10" s="2" t="inlineStr">
        <is>
          <t>Zócalo</t>
        </is>
      </c>
      <c r="B10" s="2" t="inlineStr">
        <is>
          <t>PVC 5 cm</t>
        </is>
      </c>
      <c r="C10" s="2" t="inlineStr">
        <is>
          <t>PVC 7 cm</t>
        </is>
      </c>
      <c r="D10" s="2" t="inlineStr">
        <is>
          <t>PVC 7 cm</t>
        </is>
      </c>
    </row>
    <row r="11">
      <c r="A11" s="2" t="inlineStr">
        <is>
          <t>Griferías</t>
        </is>
      </c>
      <c r="B11" s="2" t="inlineStr">
        <is>
          <t>FV Alva / Hydros</t>
        </is>
      </c>
      <c r="C11" s="2" t="inlineStr">
        <is>
          <t>Hidromet Minicucina / Small</t>
        </is>
      </c>
      <c r="D11" s="2" t="inlineStr">
        <is>
          <t>Hidromet Pro Flex / Raptor</t>
        </is>
      </c>
    </row>
    <row r="13">
      <c r="A13" s="8" t="inlineStr">
        <is>
          <t>Conclusión: el Excel actual está entre Esencial y Confort. Hay que separarlo en dos listas de materiales.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2026-10-04T13:01:21Z</dcterms:created>
  <dcterms:modified xsi:type="dcterms:W3CDTF">2026-10-04T16:08:17Z</dcterms:modified>
</cp:coreProperties>
</file>