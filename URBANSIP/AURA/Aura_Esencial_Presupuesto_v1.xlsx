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rrores y dud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D &quot;#,##0"/>
    <numFmt numFmtId="165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9C0006"/>
    </font>
    <font>
      <b val="1"/>
      <color rgb="00FFFFFF"/>
    </font>
    <font>
      <b val="1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wrapText="1"/>
    </xf>
    <xf numFmtId="3" fontId="3" fillId="3" borderId="1" applyAlignment="1" pivotButton="0" quotePrefix="0" xfId="0">
      <alignment wrapText="1"/>
    </xf>
    <xf numFmtId="164" fontId="3" fillId="3" borderId="1" applyAlignment="1" pivotButton="0" quotePrefix="0" xfId="0">
      <alignment wrapText="1"/>
    </xf>
    <xf numFmtId="0" fontId="3" fillId="3" borderId="1" applyAlignment="1" pivotButton="0" quotePrefix="0" xfId="0">
      <alignment vertical="top" wrapText="1"/>
    </xf>
    <xf numFmtId="0" fontId="4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0" borderId="1" pivotButton="0" quotePrefix="0" xfId="0"/>
    <xf numFmtId="0" fontId="5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164" fontId="4" fillId="0" borderId="1" pivotButton="0" quotePrefix="0" xfId="0"/>
    <xf numFmtId="164" fontId="0" fillId="2" borderId="1" pivotButton="0" quotePrefix="0" xfId="0"/>
    <xf numFmtId="0" fontId="6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7" customWidth="1" min="2" max="2"/>
    <col width="10" customWidth="1" min="3" max="3"/>
    <col width="15" customWidth="1" min="4" max="4"/>
    <col width="15" customWidth="1" min="5" max="5"/>
    <col width="13" customWidth="1" min="6" max="6"/>
    <col width="11" customWidth="1" min="7" max="7"/>
    <col width="70" customWidth="1" min="8" max="8"/>
  </cols>
  <sheetData>
    <row r="1">
      <c r="A1" s="1" t="inlineStr">
        <is>
          <t>URBANSIP · AURA ESENCIAL · Presupuesto de costo v1 (precios al 30/09/26)</t>
        </is>
      </c>
    </row>
    <row r="2">
      <c r="A2" t="inlineStr">
        <is>
          <t>Dólar BNA venta</t>
        </is>
      </c>
      <c r="B2" s="2" t="n">
        <v>1550</v>
      </c>
      <c r="C2" t="inlineStr">
        <is>
          <t>Superficie cubierta (m²)</t>
        </is>
      </c>
      <c r="D2" s="3" t="n">
        <v>73</v>
      </c>
      <c r="E2" s="4" t="inlineStr">
        <is>
          <t>Documento interno: no enviar a clientes.</t>
        </is>
      </c>
    </row>
    <row r="3">
      <c r="A3" t="inlineStr">
        <is>
          <t>Colores de la columna Estado: rojo = corregido, amarillo = duda, azul = es de Confort (encarece el Esencial), verde = faltante agregado (estimado).</t>
        </is>
      </c>
    </row>
    <row r="5">
      <c r="A5" s="5" t="inlineStr">
        <is>
          <t>Ítem</t>
        </is>
      </c>
      <c r="B5" s="5" t="inlineStr">
        <is>
          <t>Un.</t>
        </is>
      </c>
      <c r="C5" s="5" t="inlineStr">
        <is>
          <t>Cantidad</t>
        </is>
      </c>
      <c r="D5" s="6" t="inlineStr">
        <is>
          <t>Precio unit. (ARS)</t>
        </is>
      </c>
      <c r="E5" s="6" t="inlineStr">
        <is>
          <t>Total (ARS)</t>
        </is>
      </c>
      <c r="F5" s="7" t="inlineStr">
        <is>
          <t>Total (USD)</t>
        </is>
      </c>
      <c r="G5" s="5" t="inlineStr">
        <is>
          <t>Estado</t>
        </is>
      </c>
      <c r="H5" s="8" t="inlineStr">
        <is>
          <t>Observación</t>
        </is>
      </c>
    </row>
    <row r="6">
      <c r="A6" s="9" t="inlineStr">
        <is>
          <t>FUNDACIÓN</t>
        </is>
      </c>
      <c r="B6" s="10" t="n"/>
      <c r="C6" s="10" t="n"/>
      <c r="D6" s="11" t="n"/>
      <c r="E6" s="11" t="n"/>
      <c r="F6" s="12" t="n"/>
      <c r="G6" s="10" t="n"/>
      <c r="H6" s="13" t="n"/>
    </row>
    <row r="7">
      <c r="A7" s="14" t="inlineStr">
        <is>
          <t>Viga Fundacion con pilotines</t>
        </is>
      </c>
      <c r="B7" s="14" t="inlineStr">
        <is>
          <t>m3</t>
        </is>
      </c>
      <c r="C7" s="15" t="n">
        <v>4.68</v>
      </c>
      <c r="D7" s="16" t="n">
        <v>315615.6916545455</v>
      </c>
      <c r="E7" s="16">
        <f>C7*D7</f>
        <v/>
      </c>
      <c r="F7" s="17">
        <f>E7/$B$2</f>
        <v/>
      </c>
      <c r="G7" s="18" t="inlineStr">
        <is>
          <t>DUDA</t>
        </is>
      </c>
      <c r="H7" s="19" t="inlineStr">
        <is>
          <t>Solo cuenta 4,68 m³ de vigas. Los 18 pilotines (0,86 m³ ≈ USD 175) están calculados en la hoja Aux pero no se sumaron. Hierro: 60 kg/m³, parece bajo para vigas.</t>
        </is>
      </c>
    </row>
    <row r="8">
      <c r="A8" s="14" t="inlineStr">
        <is>
          <t>Nylon incluye contrapiso perimetral se necesitan 115 m2 Rollo 100 m2</t>
        </is>
      </c>
      <c r="B8" s="14" t="inlineStr">
        <is>
          <t>rollo</t>
        </is>
      </c>
      <c r="C8" s="15" t="n">
        <v>1.5</v>
      </c>
      <c r="D8" s="16" t="n">
        <v>33000</v>
      </c>
      <c r="E8" s="16">
        <f>C8*D8</f>
        <v/>
      </c>
      <c r="F8" s="17">
        <f>E8/$B$2</f>
        <v/>
      </c>
      <c r="G8" s="14" t="inlineStr">
        <is>
          <t>OK</t>
        </is>
      </c>
      <c r="H8" s="19" t="n"/>
    </row>
    <row r="9">
      <c r="A9" s="14" t="inlineStr">
        <is>
          <t>Contrapiso interior espesor 12 cm</t>
        </is>
      </c>
      <c r="B9" s="14" t="inlineStr">
        <is>
          <t>m2</t>
        </is>
      </c>
      <c r="C9" s="15" t="n">
        <v>62.7</v>
      </c>
      <c r="D9" s="16" t="n">
        <v>12504.888</v>
      </c>
      <c r="E9" s="16">
        <f>C9*D9</f>
        <v/>
      </c>
      <c r="F9" s="17">
        <f>E9/$B$2</f>
        <v/>
      </c>
      <c r="G9" s="20" t="inlineStr">
        <is>
          <t>CORREGIDO</t>
        </is>
      </c>
      <c r="H9" s="19" t="inlineStr">
        <is>
          <t>Usaba el precio por m³ ($104.207) en vez del precio por m² ($12.505).</t>
        </is>
      </c>
    </row>
    <row r="10">
      <c r="A10" s="14" t="inlineStr">
        <is>
          <t>Carpeta de cemento 2 cm</t>
        </is>
      </c>
      <c r="B10" s="14" t="inlineStr">
        <is>
          <t>m2</t>
        </is>
      </c>
      <c r="C10" s="14" t="n">
        <v>0</v>
      </c>
      <c r="D10" s="16" t="n">
        <v>12504.888</v>
      </c>
      <c r="E10" s="16">
        <f>C10*D10</f>
        <v/>
      </c>
      <c r="F10" s="17">
        <f>E10/$B$2</f>
        <v/>
      </c>
      <c r="G10" s="20" t="inlineStr">
        <is>
          <t>CORREGIDO</t>
        </is>
      </c>
      <c r="H10" s="19" t="inlineStr">
        <is>
          <t>Duplicada. Se elimina: la carpeta de 88,7 m² ya cubre todo.</t>
        </is>
      </c>
    </row>
    <row r="11">
      <c r="A11" s="14" t="inlineStr">
        <is>
          <t>Contrapiso Exterior espesor 12 cm</t>
        </is>
      </c>
      <c r="B11" s="14" t="inlineStr">
        <is>
          <t>m2</t>
        </is>
      </c>
      <c r="C11" s="14" t="n">
        <v>26</v>
      </c>
      <c r="D11" s="16" t="n">
        <v>12504.888</v>
      </c>
      <c r="E11" s="16">
        <f>C11*D11</f>
        <v/>
      </c>
      <c r="F11" s="17">
        <f>E11/$B$2</f>
        <v/>
      </c>
      <c r="G11" s="14" t="inlineStr">
        <is>
          <t>OK</t>
        </is>
      </c>
      <c r="H11" s="19" t="n"/>
    </row>
    <row r="12">
      <c r="A12" s="14" t="inlineStr">
        <is>
          <t>Carpeta de cemento</t>
        </is>
      </c>
      <c r="B12" s="14" t="inlineStr">
        <is>
          <t>m2</t>
        </is>
      </c>
      <c r="C12" s="15" t="n">
        <v>88.7</v>
      </c>
      <c r="D12" s="16" t="n">
        <v>3271.89555</v>
      </c>
      <c r="E12" s="16">
        <f>C12*D12</f>
        <v/>
      </c>
      <c r="F12" s="17">
        <f>E12/$B$2</f>
        <v/>
      </c>
      <c r="G12" s="14" t="inlineStr">
        <is>
          <t>OK</t>
        </is>
      </c>
      <c r="H12" s="19" t="n"/>
    </row>
    <row r="13">
      <c r="A13" s="9" t="inlineStr">
        <is>
          <t>MANTENIMIENTO DE OBRA</t>
        </is>
      </c>
      <c r="B13" s="10" t="n"/>
      <c r="C13" s="10" t="n"/>
      <c r="D13" s="11" t="n"/>
      <c r="E13" s="11" t="n"/>
      <c r="F13" s="12" t="n"/>
      <c r="G13" s="10" t="n"/>
      <c r="H13" s="13" t="n"/>
    </row>
    <row r="14">
      <c r="A14" s="14" t="inlineStr">
        <is>
          <t>Baño quimico mensual</t>
        </is>
      </c>
      <c r="B14" s="14" t="inlineStr">
        <is>
          <t>meses</t>
        </is>
      </c>
      <c r="C14" s="14" t="n">
        <v>3</v>
      </c>
      <c r="D14" s="16" t="n">
        <v>80000</v>
      </c>
      <c r="E14" s="16">
        <f>C14*D14</f>
        <v/>
      </c>
      <c r="F14" s="17">
        <f>E14/$B$2</f>
        <v/>
      </c>
      <c r="G14" s="14" t="inlineStr">
        <is>
          <t>OK</t>
        </is>
      </c>
      <c r="H14" s="19" t="n"/>
    </row>
    <row r="15">
      <c r="A15" s="14" t="inlineStr">
        <is>
          <t>Limpieza de obra periodica. Volquetes</t>
        </is>
      </c>
      <c r="B15" s="14" t="inlineStr">
        <is>
          <t>Volq</t>
        </is>
      </c>
      <c r="C15" s="14" t="n">
        <v>3</v>
      </c>
      <c r="D15" s="16" t="n">
        <v>140000</v>
      </c>
      <c r="E15" s="16">
        <f>C15*D15</f>
        <v/>
      </c>
      <c r="F15" s="17">
        <f>E15/$B$2</f>
        <v/>
      </c>
      <c r="G15" s="14" t="inlineStr">
        <is>
          <t>OK</t>
        </is>
      </c>
      <c r="H15" s="19" t="n"/>
    </row>
    <row r="16">
      <c r="A16" s="9" t="inlineStr">
        <is>
          <t>OBRA GRIS</t>
        </is>
      </c>
      <c r="B16" s="10" t="n"/>
      <c r="C16" s="10" t="n"/>
      <c r="D16" s="11" t="n"/>
      <c r="E16" s="11" t="n"/>
      <c r="F16" s="12" t="n"/>
      <c r="G16" s="10" t="n"/>
      <c r="H16" s="13" t="n"/>
    </row>
    <row r="17">
      <c r="A17" s="14" t="inlineStr">
        <is>
          <t>Paneles Kit Base OSB 11.1+EPS 15 kg/m3</t>
        </is>
      </c>
      <c r="B17" s="14" t="inlineStr">
        <is>
          <t>gl</t>
        </is>
      </c>
      <c r="C17" s="14" t="n">
        <v>1</v>
      </c>
      <c r="D17" s="16">
        <f>17600.37*$B$2</f>
        <v/>
      </c>
      <c r="E17" s="16">
        <f>C17*D17</f>
        <v/>
      </c>
      <c r="F17" s="17">
        <f>E17/$B$2</f>
        <v/>
      </c>
      <c r="G17" s="20" t="inlineStr">
        <is>
          <t>CORREGIDO</t>
        </is>
      </c>
      <c r="H17" s="19" t="inlineStr">
        <is>
          <t>Presupuesto SIPCOR #2790: USD 17.600,37 con IVA. Se pasa al dólar de $1.550 (estaba a $1.530). Precio válido 5 días.</t>
        </is>
      </c>
    </row>
    <row r="18">
      <c r="A18" s="14" t="inlineStr">
        <is>
          <t>Flete desde Cordoba</t>
        </is>
      </c>
      <c r="B18" s="14" t="inlineStr">
        <is>
          <t>gl</t>
        </is>
      </c>
      <c r="C18" s="14" t="n">
        <v>1</v>
      </c>
      <c r="D18" s="16" t="n">
        <v>800000</v>
      </c>
      <c r="E18" s="16">
        <f>C18*D18</f>
        <v/>
      </c>
      <c r="F18" s="17">
        <f>E18/$B$2</f>
        <v/>
      </c>
      <c r="G18" s="18" t="inlineStr">
        <is>
          <t>DUDA</t>
        </is>
      </c>
      <c r="H18" s="19" t="inlineStr">
        <is>
          <t>¿Fijo o según destino? Confirmar con transportista.</t>
        </is>
      </c>
    </row>
    <row r="19">
      <c r="A19" s="14" t="inlineStr">
        <is>
          <t>Materiales de sellado adicionales paredes y techo</t>
        </is>
      </c>
      <c r="B19" s="14" t="inlineStr">
        <is>
          <t>gl</t>
        </is>
      </c>
      <c r="C19" s="14" t="n">
        <v>1</v>
      </c>
      <c r="D19" s="16" t="n">
        <v>956000</v>
      </c>
      <c r="E19" s="16">
        <f>C19*D19</f>
        <v/>
      </c>
      <c r="F19" s="17">
        <f>E19/$B$2</f>
        <v/>
      </c>
      <c r="G19" s="18" t="inlineStr">
        <is>
          <t>DUDA</t>
        </is>
      </c>
      <c r="H19" s="19" t="inlineStr">
        <is>
          <t>El kit SIPCOR ya trae cola PUR, espuma, membrana líquida y Flexi Band. Puede estar repetido.</t>
        </is>
      </c>
    </row>
    <row r="20">
      <c r="A20" s="14" t="inlineStr">
        <is>
          <t>Dinteles 3x4</t>
        </is>
      </c>
      <c r="B20" s="14" t="inlineStr">
        <is>
          <t>ml</t>
        </is>
      </c>
      <c r="C20" s="14" t="n">
        <v>15</v>
      </c>
      <c r="D20" s="16" t="n">
        <v>10000</v>
      </c>
      <c r="E20" s="16">
        <f>C20*D20</f>
        <v/>
      </c>
      <c r="F20" s="17">
        <f>E20/$B$2</f>
        <v/>
      </c>
      <c r="G20" s="14" t="inlineStr">
        <is>
          <t>OK</t>
        </is>
      </c>
      <c r="H20" s="19" t="n"/>
    </row>
    <row r="21">
      <c r="A21" s="14" t="inlineStr">
        <is>
          <t>Revestimiento placa de roca de yeso interior standard</t>
        </is>
      </c>
      <c r="B21" s="14" t="inlineStr">
        <is>
          <t>m2</t>
        </is>
      </c>
      <c r="C21" s="15" t="n">
        <v>137.5008</v>
      </c>
      <c r="D21" s="16" t="n">
        <v>7272.764863888889</v>
      </c>
      <c r="E21" s="16">
        <f>C21*D21</f>
        <v/>
      </c>
      <c r="F21" s="17">
        <f>E21/$B$2</f>
        <v/>
      </c>
      <c r="G21" s="14" t="inlineStr">
        <is>
          <t>OK</t>
        </is>
      </c>
      <c r="H21" s="19" t="n"/>
    </row>
    <row r="22">
      <c r="A22" s="14" t="inlineStr">
        <is>
          <t>Revestimiento placa de roca de yeso interior RH</t>
        </is>
      </c>
      <c r="B22" s="14" t="inlineStr">
        <is>
          <t>m2</t>
        </is>
      </c>
      <c r="C22" s="15" t="n">
        <v>29.2</v>
      </c>
      <c r="D22" s="16" t="n">
        <v>13106.61903055556</v>
      </c>
      <c r="E22" s="16">
        <f>C22*D22</f>
        <v/>
      </c>
      <c r="F22" s="17">
        <f>E22/$B$2</f>
        <v/>
      </c>
      <c r="G22" s="14" t="inlineStr">
        <is>
          <t>OK</t>
        </is>
      </c>
      <c r="H22" s="19" t="n"/>
    </row>
    <row r="23">
      <c r="A23" s="14" t="inlineStr">
        <is>
          <t>Revestimiento Exterior siding LP</t>
        </is>
      </c>
      <c r="B23" s="14" t="inlineStr">
        <is>
          <t>m2</t>
        </is>
      </c>
      <c r="C23" s="15" t="n">
        <v>136.9328</v>
      </c>
      <c r="D23" s="16" t="n">
        <v>18055.04</v>
      </c>
      <c r="E23" s="16">
        <f>C23*D23</f>
        <v/>
      </c>
      <c r="F23" s="17">
        <f>E23/$B$2</f>
        <v/>
      </c>
      <c r="G23" s="18" t="inlineStr">
        <is>
          <t>DUDA</t>
        </is>
      </c>
      <c r="H23" s="19" t="inlineStr">
        <is>
          <t>Calcula 1,2 placas por m² a $15.000. Una placa de 2,44×1,22 cubre 2,98 m². Confirmar si $15.000 es por placa o por m².</t>
        </is>
      </c>
    </row>
    <row r="24">
      <c r="A24" s="14" t="inlineStr">
        <is>
          <t>Techos Chapa acanalado completo</t>
        </is>
      </c>
      <c r="B24" s="14" t="inlineStr">
        <is>
          <t>m2</t>
        </is>
      </c>
      <c r="C24" s="14" t="n">
        <v>78</v>
      </c>
      <c r="D24" s="16" t="n">
        <v>45303.1282051282</v>
      </c>
      <c r="E24" s="16">
        <f>C24*D24</f>
        <v/>
      </c>
      <c r="F24" s="17">
        <f>E24/$B$2</f>
        <v/>
      </c>
      <c r="G24" s="14" t="inlineStr">
        <is>
          <t>OK</t>
        </is>
      </c>
      <c r="H24" s="19" t="inlineStr">
        <is>
          <t>Cabios 3×8 + alfajías + clavaderas 2×2 + chapa C25. Paneles y membrana de techo vienen en el kit.</t>
        </is>
      </c>
    </row>
    <row r="25">
      <c r="A25" s="14" t="inlineStr">
        <is>
          <t>Canaletas</t>
        </is>
      </c>
      <c r="B25" s="14" t="inlineStr">
        <is>
          <t>ml</t>
        </is>
      </c>
      <c r="C25" s="14" t="n">
        <v>12</v>
      </c>
      <c r="D25" s="16" t="n">
        <v>25000</v>
      </c>
      <c r="E25" s="16">
        <f>C25*D25</f>
        <v/>
      </c>
      <c r="F25" s="17">
        <f>E25/$B$2</f>
        <v/>
      </c>
      <c r="G25" s="14" t="inlineStr">
        <is>
          <t>OK</t>
        </is>
      </c>
      <c r="H25" s="19" t="n"/>
    </row>
    <row r="26">
      <c r="A26" s="14" t="inlineStr">
        <is>
          <t>Bajada de canaleta</t>
        </is>
      </c>
      <c r="B26" s="14" t="inlineStr">
        <is>
          <t>ml</t>
        </is>
      </c>
      <c r="C26" s="14" t="n">
        <v>8</v>
      </c>
      <c r="D26" s="16" t="n">
        <v>25000</v>
      </c>
      <c r="E26" s="16">
        <f>C26*D26</f>
        <v/>
      </c>
      <c r="F26" s="17">
        <f>E26/$B$2</f>
        <v/>
      </c>
      <c r="G26" s="14" t="inlineStr">
        <is>
          <t>OK</t>
        </is>
      </c>
      <c r="H26" s="19" t="n"/>
    </row>
    <row r="27">
      <c r="A27" s="14" t="inlineStr">
        <is>
          <t>zingueria Carga</t>
        </is>
      </c>
      <c r="B27" s="14" t="inlineStr">
        <is>
          <t>ml</t>
        </is>
      </c>
      <c r="C27" s="14" t="n">
        <v>30</v>
      </c>
      <c r="D27" s="16" t="n">
        <v>20000</v>
      </c>
      <c r="E27" s="16">
        <f>C27*D27</f>
        <v/>
      </c>
      <c r="F27" s="17">
        <f>E27/$B$2</f>
        <v/>
      </c>
      <c r="G27" s="14" t="inlineStr">
        <is>
          <t>OK</t>
        </is>
      </c>
      <c r="H27" s="19" t="n"/>
    </row>
    <row r="28">
      <c r="A28" s="14" t="inlineStr">
        <is>
          <t>Botagua arranque panel SIP</t>
        </is>
      </c>
      <c r="B28" s="14" t="inlineStr">
        <is>
          <t>ml</t>
        </is>
      </c>
      <c r="C28" s="14" t="n">
        <v>50</v>
      </c>
      <c r="D28" s="16" t="n">
        <v>15000</v>
      </c>
      <c r="E28" s="16">
        <f>C28*D28</f>
        <v/>
      </c>
      <c r="F28" s="17">
        <f>E28/$B$2</f>
        <v/>
      </c>
      <c r="G28" s="14" t="inlineStr">
        <is>
          <t>OK</t>
        </is>
      </c>
      <c r="H28" s="19" t="n"/>
    </row>
    <row r="29">
      <c r="A29" s="14" t="inlineStr">
        <is>
          <t>Zingueria de dinteles</t>
        </is>
      </c>
      <c r="B29" s="14" t="inlineStr">
        <is>
          <t>ml</t>
        </is>
      </c>
      <c r="C29" s="15" t="n">
        <v>13</v>
      </c>
      <c r="D29" s="16" t="n">
        <v>15000</v>
      </c>
      <c r="E29" s="16">
        <f>C29*D29</f>
        <v/>
      </c>
      <c r="F29" s="17">
        <f>E29/$B$2</f>
        <v/>
      </c>
      <c r="G29" s="14" t="inlineStr">
        <is>
          <t>OK</t>
        </is>
      </c>
      <c r="H29" s="19" t="n"/>
    </row>
    <row r="30">
      <c r="A30" s="9" t="inlineStr">
        <is>
          <t>INSTALACION SANITARIA</t>
        </is>
      </c>
      <c r="B30" s="10" t="n"/>
      <c r="C30" s="10" t="n"/>
      <c r="D30" s="11" t="n"/>
      <c r="E30" s="11" t="n"/>
      <c r="F30" s="12" t="n"/>
      <c r="G30" s="10" t="n"/>
      <c r="H30" s="13" t="n"/>
    </row>
    <row r="31">
      <c r="A31" s="14" t="inlineStr">
        <is>
          <t>Materiales Sanitarios</t>
        </is>
      </c>
      <c r="B31" s="14" t="inlineStr">
        <is>
          <t>gl</t>
        </is>
      </c>
      <c r="C31" s="14" t="n">
        <v>1</v>
      </c>
      <c r="D31" s="16" t="n">
        <v>850000</v>
      </c>
      <c r="E31" s="16">
        <f>C31*D31</f>
        <v/>
      </c>
      <c r="F31" s="17">
        <f>E31/$B$2</f>
        <v/>
      </c>
      <c r="G31" s="18" t="inlineStr">
        <is>
          <t>DUDA</t>
        </is>
      </c>
      <c r="H31" s="19" t="inlineStr">
        <is>
          <t>Monto global. La hoja 'Mat. Sanit.' tiene el listado pero sin precios.</t>
        </is>
      </c>
    </row>
    <row r="32">
      <c r="A32" s="14" t="inlineStr">
        <is>
          <t>Mano de Obra Sanitaria</t>
        </is>
      </c>
      <c r="B32" s="14" t="inlineStr">
        <is>
          <t>gl</t>
        </is>
      </c>
      <c r="C32" s="14" t="n">
        <v>1</v>
      </c>
      <c r="D32" s="16" t="n">
        <v>850000</v>
      </c>
      <c r="E32" s="16">
        <f>C32*D32</f>
        <v/>
      </c>
      <c r="F32" s="17">
        <f>E32/$B$2</f>
        <v/>
      </c>
      <c r="G32" s="18" t="inlineStr">
        <is>
          <t>DUDA</t>
        </is>
      </c>
      <c r="H32" s="19" t="inlineStr">
        <is>
          <t>La planilla de mano de obra también tiene días de instalaciones (13 días). Puede estar contada dos veces.</t>
        </is>
      </c>
    </row>
    <row r="33">
      <c r="A33" s="14" t="inlineStr">
        <is>
          <t>Artefactos Sanitarios Gas segun listado</t>
        </is>
      </c>
      <c r="B33" s="14" t="inlineStr">
        <is>
          <t>gl</t>
        </is>
      </c>
      <c r="C33" s="14" t="n">
        <v>1</v>
      </c>
      <c r="D33" s="16" t="n">
        <v>1172000</v>
      </c>
      <c r="E33" s="16">
        <f>C33*D33</f>
        <v/>
      </c>
      <c r="F33" s="17">
        <f>E33/$B$2</f>
        <v/>
      </c>
      <c r="G33" s="21" t="inlineStr">
        <is>
          <t>CONFORT</t>
        </is>
      </c>
      <c r="H33" s="19" t="inlineStr">
        <is>
          <t>Incluye Roca Mónaco, espejo y accesorios: según la ficha son de Confort. Esencial: Roca Capea, sin espejo ni accesorios.</t>
        </is>
      </c>
    </row>
    <row r="34">
      <c r="A34" s="14" t="inlineStr">
        <is>
          <t>Extractores hidra 250</t>
        </is>
      </c>
      <c r="B34" s="14" t="inlineStr">
        <is>
          <t>u</t>
        </is>
      </c>
      <c r="C34" s="14" t="n">
        <v>1</v>
      </c>
      <c r="D34" s="16" t="n">
        <v>32000</v>
      </c>
      <c r="E34" s="16">
        <f>C34*D34</f>
        <v/>
      </c>
      <c r="F34" s="17">
        <f>E34/$B$2</f>
        <v/>
      </c>
      <c r="G34" s="21" t="inlineStr">
        <is>
          <t>CONFORT</t>
        </is>
      </c>
      <c r="H34" s="19" t="inlineStr">
        <is>
          <t>Según la ficha, el extractor de baño es de Confort.</t>
        </is>
      </c>
    </row>
    <row r="35">
      <c r="A35" s="9" t="inlineStr">
        <is>
          <t>INSTALACION ELECTRICA</t>
        </is>
      </c>
      <c r="B35" s="10" t="n"/>
      <c r="C35" s="10" t="n"/>
      <c r="D35" s="11" t="n"/>
      <c r="E35" s="11" t="n"/>
      <c r="F35" s="12" t="n"/>
      <c r="G35" s="10" t="n"/>
      <c r="H35" s="13" t="n"/>
    </row>
    <row r="36">
      <c r="A36" s="14" t="inlineStr">
        <is>
          <t>Materiales electricos</t>
        </is>
      </c>
      <c r="B36" s="14" t="inlineStr">
        <is>
          <t>bocas</t>
        </is>
      </c>
      <c r="C36" s="14" t="n">
        <v>54</v>
      </c>
      <c r="D36" s="16" t="n">
        <v>60000</v>
      </c>
      <c r="E36" s="16">
        <f>C36*D36</f>
        <v/>
      </c>
      <c r="F36" s="17">
        <f>E36/$B$2</f>
        <v/>
      </c>
      <c r="G36" s="18" t="inlineStr">
        <is>
          <t>DUDA</t>
        </is>
      </c>
      <c r="H36" s="19" t="inlineStr">
        <is>
          <t>54 bocas × $60.000 global. La hoja 'Mat. Electricos' tiene el listado pero sin precios.</t>
        </is>
      </c>
    </row>
    <row r="37">
      <c r="A37" s="14" t="inlineStr">
        <is>
          <t>Mano de Obra Electrica</t>
        </is>
      </c>
      <c r="B37" s="14" t="inlineStr">
        <is>
          <t>bocas</t>
        </is>
      </c>
      <c r="C37" s="14" t="n">
        <v>54</v>
      </c>
      <c r="D37" s="16" t="n">
        <v>60000</v>
      </c>
      <c r="E37" s="16">
        <f>C37*D37</f>
        <v/>
      </c>
      <c r="F37" s="17">
        <f>E37/$B$2</f>
        <v/>
      </c>
      <c r="G37" s="18" t="inlineStr">
        <is>
          <t>DUDA</t>
        </is>
      </c>
      <c r="H37" s="19" t="inlineStr">
        <is>
          <t>Ídem mano de obra sanitaria.</t>
        </is>
      </c>
    </row>
    <row r="38">
      <c r="A38" s="14" t="inlineStr">
        <is>
          <t>Puertas interiores marco madera</t>
        </is>
      </c>
      <c r="B38" s="14" t="inlineStr">
        <is>
          <t>u</t>
        </is>
      </c>
      <c r="C38" s="14" t="n">
        <v>3</v>
      </c>
      <c r="D38" s="16" t="n">
        <v>260000</v>
      </c>
      <c r="E38" s="16">
        <f>C38*D38</f>
        <v/>
      </c>
      <c r="F38" s="17">
        <f>E38/$B$2</f>
        <v/>
      </c>
      <c r="G38" s="14" t="inlineStr">
        <is>
          <t>OK</t>
        </is>
      </c>
      <c r="H38" s="19" t="n"/>
    </row>
    <row r="39">
      <c r="A39" s="14" t="inlineStr">
        <is>
          <t>Puerta principal</t>
        </is>
      </c>
      <c r="B39" s="14" t="inlineStr">
        <is>
          <t>u</t>
        </is>
      </c>
      <c r="C39" s="14" t="n">
        <v>1</v>
      </c>
      <c r="D39" s="16" t="n">
        <v>1900000</v>
      </c>
      <c r="E39" s="16">
        <f>C39*D39</f>
        <v/>
      </c>
      <c r="F39" s="17">
        <f>E39/$B$2</f>
        <v/>
      </c>
      <c r="G39" s="14" t="inlineStr">
        <is>
          <t>OK</t>
        </is>
      </c>
      <c r="H39" s="19" t="n"/>
    </row>
    <row r="40">
      <c r="A40" s="14" t="inlineStr">
        <is>
          <t>Carpinteria de Alum con DVH</t>
        </is>
      </c>
      <c r="B40" s="14" t="inlineStr">
        <is>
          <t>gl</t>
        </is>
      </c>
      <c r="C40" s="14" t="n">
        <v>1</v>
      </c>
      <c r="D40" s="16" t="n">
        <v>5000000</v>
      </c>
      <c r="E40" s="16">
        <f>C40*D40</f>
        <v/>
      </c>
      <c r="F40" s="17">
        <f>E40/$B$2</f>
        <v/>
      </c>
      <c r="G40" s="18" t="inlineStr">
        <is>
          <t>DUDA</t>
        </is>
      </c>
      <c r="H40" s="19" t="inlineStr">
        <is>
          <t>Monto global sin cotización: el listado de ventanas tiene precio 0.</t>
        </is>
      </c>
    </row>
    <row r="41">
      <c r="A41" s="9" t="inlineStr">
        <is>
          <t>TERMINACIONES</t>
        </is>
      </c>
      <c r="B41" s="10" t="n"/>
      <c r="C41" s="10" t="n"/>
      <c r="D41" s="11" t="n"/>
      <c r="E41" s="11" t="n"/>
      <c r="F41" s="12" t="n"/>
      <c r="G41" s="10" t="n"/>
      <c r="H41" s="13" t="n"/>
    </row>
    <row r="42">
      <c r="A42" s="14" t="inlineStr">
        <is>
          <t>Piso Porcelanato y revestimiento</t>
        </is>
      </c>
      <c r="B42" s="14" t="inlineStr">
        <is>
          <t>m2</t>
        </is>
      </c>
      <c r="C42" s="15" t="n">
        <v>96.565</v>
      </c>
      <c r="D42" s="16" t="n">
        <v>32379.6</v>
      </c>
      <c r="E42" s="16">
        <f>C42*D42</f>
        <v/>
      </c>
      <c r="F42" s="17">
        <f>E42/$B$2</f>
        <v/>
      </c>
      <c r="G42" s="14" t="inlineStr">
        <is>
          <t>OK</t>
        </is>
      </c>
      <c r="H42" s="19" t="inlineStr">
        <is>
          <t>68 m² de piso + 28,6 m² de revestimiento de baño y cocina.</t>
        </is>
      </c>
    </row>
    <row r="43">
      <c r="A43" s="14" t="inlineStr">
        <is>
          <t>Piso de cemento alisado con endurecedor</t>
        </is>
      </c>
      <c r="B43" s="14" t="inlineStr">
        <is>
          <t>m2</t>
        </is>
      </c>
      <c r="C43" s="14" t="n">
        <v>26</v>
      </c>
      <c r="D43" s="16" t="n">
        <v>45000</v>
      </c>
      <c r="E43" s="16">
        <f>C43*D43</f>
        <v/>
      </c>
      <c r="F43" s="17">
        <f>E43/$B$2</f>
        <v/>
      </c>
      <c r="G43" s="14" t="inlineStr">
        <is>
          <t>OK</t>
        </is>
      </c>
      <c r="H43" s="19" t="n"/>
    </row>
    <row r="44">
      <c r="A44" s="14" t="inlineStr">
        <is>
          <t>Zocalo madera PB</t>
        </is>
      </c>
      <c r="B44" s="14" t="inlineStr">
        <is>
          <t>ml</t>
        </is>
      </c>
      <c r="C44" s="15" t="n">
        <v>58.8</v>
      </c>
      <c r="D44" s="16" t="n">
        <v>5000</v>
      </c>
      <c r="E44" s="16">
        <f>C44*D44</f>
        <v/>
      </c>
      <c r="F44" s="17">
        <f>E44/$B$2</f>
        <v/>
      </c>
      <c r="G44" s="18" t="inlineStr">
        <is>
          <t>DUDA</t>
        </is>
      </c>
      <c r="H44" s="19" t="inlineStr">
        <is>
          <t>El Excel dice PVC 5 cm; la ficha dice PVC 7 cm.</t>
        </is>
      </c>
    </row>
    <row r="45">
      <c r="A45" s="9" t="inlineStr">
        <is>
          <t>AMURE CARPINTERIAS-HERRERIA</t>
        </is>
      </c>
      <c r="B45" s="10" t="n"/>
      <c r="C45" s="10" t="n"/>
      <c r="D45" s="11" t="n"/>
      <c r="E45" s="11" t="n"/>
      <c r="F45" s="12" t="n"/>
      <c r="G45" s="10" t="n"/>
      <c r="H45" s="13" t="n"/>
    </row>
    <row r="46">
      <c r="A46" s="14" t="inlineStr">
        <is>
          <t>Ajuste de puertas herrajes</t>
        </is>
      </c>
      <c r="B46" s="14" t="inlineStr">
        <is>
          <t>u</t>
        </is>
      </c>
      <c r="C46" s="14" t="n">
        <v>3</v>
      </c>
      <c r="D46" s="16" t="n">
        <v>11000</v>
      </c>
      <c r="E46" s="16">
        <f>C46*D46</f>
        <v/>
      </c>
      <c r="F46" s="17">
        <f>E46/$B$2</f>
        <v/>
      </c>
      <c r="G46" s="14" t="inlineStr">
        <is>
          <t>OK</t>
        </is>
      </c>
      <c r="H46" s="19" t="n"/>
    </row>
    <row r="47">
      <c r="A47" s="9" t="inlineStr">
        <is>
          <t>PINTURA</t>
        </is>
      </c>
      <c r="B47" s="10" t="n"/>
      <c r="C47" s="10" t="n"/>
      <c r="D47" s="11" t="n"/>
      <c r="E47" s="11" t="n"/>
      <c r="F47" s="12" t="n"/>
      <c r="G47" s="10" t="n"/>
      <c r="H47" s="13" t="n"/>
    </row>
    <row r="48">
      <c r="A48" s="14" t="inlineStr">
        <is>
          <t>Latex interior  Paredes</t>
        </is>
      </c>
      <c r="B48" s="14" t="inlineStr">
        <is>
          <t>m2</t>
        </is>
      </c>
      <c r="C48" s="15" t="n">
        <v>137.5008</v>
      </c>
      <c r="D48" s="16" t="n">
        <v>3530.8</v>
      </c>
      <c r="E48" s="16">
        <f>C48*D48</f>
        <v/>
      </c>
      <c r="F48" s="17">
        <f>E48/$B$2</f>
        <v/>
      </c>
      <c r="G48" s="14" t="inlineStr">
        <is>
          <t>OK</t>
        </is>
      </c>
      <c r="H48" s="19" t="inlineStr">
        <is>
          <t>Sin descontar vanos y sin látex en baño (criterio validado).</t>
        </is>
      </c>
    </row>
    <row r="49">
      <c r="A49" s="14" t="inlineStr">
        <is>
          <t>Latex interior cielorraso</t>
        </is>
      </c>
      <c r="B49" s="14" t="inlineStr">
        <is>
          <t>m2</t>
        </is>
      </c>
      <c r="C49" s="14" t="n">
        <v>68</v>
      </c>
      <c r="D49" s="16" t="n">
        <v>3530.8</v>
      </c>
      <c r="E49" s="16">
        <f>C49*D49</f>
        <v/>
      </c>
      <c r="F49" s="17">
        <f>E49/$B$2</f>
        <v/>
      </c>
      <c r="G49" s="14" t="inlineStr">
        <is>
          <t>OK</t>
        </is>
      </c>
      <c r="H49" s="19" t="n"/>
    </row>
    <row r="50">
      <c r="A50" s="9" t="inlineStr">
        <is>
          <t>VARIOS</t>
        </is>
      </c>
      <c r="B50" s="10" t="n"/>
      <c r="C50" s="10" t="n"/>
      <c r="D50" s="11" t="n"/>
      <c r="E50" s="11" t="n"/>
      <c r="F50" s="12" t="n"/>
      <c r="G50" s="10" t="n"/>
      <c r="H50" s="13" t="n"/>
    </row>
    <row r="51">
      <c r="A51" s="14" t="inlineStr">
        <is>
          <t>Estudio de suelos</t>
        </is>
      </c>
      <c r="B51" s="14" t="inlineStr">
        <is>
          <t>gl</t>
        </is>
      </c>
      <c r="C51" s="14" t="n">
        <v>1</v>
      </c>
      <c r="D51" s="16" t="n">
        <v>300000</v>
      </c>
      <c r="E51" s="16">
        <f>C51*D51</f>
        <v/>
      </c>
      <c r="F51" s="17">
        <f>E51/$B$2</f>
        <v/>
      </c>
      <c r="G51" s="14" t="inlineStr">
        <is>
          <t>OK</t>
        </is>
      </c>
      <c r="H51" s="19" t="n"/>
    </row>
    <row r="52">
      <c r="A52" s="14" t="inlineStr">
        <is>
          <t>Mueble Cocina</t>
        </is>
      </c>
      <c r="B52" s="14" t="inlineStr">
        <is>
          <t>ml</t>
        </is>
      </c>
      <c r="C52" s="14" t="n">
        <v>4</v>
      </c>
      <c r="D52" s="16" t="n">
        <v>950000</v>
      </c>
      <c r="E52" s="16">
        <f>C52*D52</f>
        <v/>
      </c>
      <c r="F52" s="17">
        <f>E52/$B$2</f>
        <v/>
      </c>
      <c r="G52" s="21" t="inlineStr">
        <is>
          <t>CONFORT</t>
        </is>
      </c>
      <c r="H52" s="19" t="inlineStr">
        <is>
          <t>4 ml con alacena e isla. Esencial: solo bajo mesada.</t>
        </is>
      </c>
    </row>
    <row r="53">
      <c r="A53" s="14" t="inlineStr">
        <is>
          <t>Division WPC incl. colocacion</t>
        </is>
      </c>
      <c r="B53" s="14" t="inlineStr">
        <is>
          <t>gl</t>
        </is>
      </c>
      <c r="C53" s="14" t="n">
        <v>1</v>
      </c>
      <c r="D53" s="16" t="n">
        <v>526315.7894736842</v>
      </c>
      <c r="E53" s="16">
        <f>C53*D53</f>
        <v/>
      </c>
      <c r="F53" s="17">
        <f>E53/$B$2</f>
        <v/>
      </c>
      <c r="G53" s="18" t="inlineStr">
        <is>
          <t>DUDA</t>
        </is>
      </c>
      <c r="H53" s="19" t="inlineStr">
        <is>
          <t>No figura en la ficha. ¿Va en Esencial?</t>
        </is>
      </c>
    </row>
    <row r="54">
      <c r="A54" s="14" t="inlineStr">
        <is>
          <t>Mesadas granito gris mara 2 cm incl. zocalo traforo</t>
        </is>
      </c>
      <c r="B54" s="14" t="inlineStr">
        <is>
          <t>m2</t>
        </is>
      </c>
      <c r="C54" s="15" t="n">
        <v>2.4</v>
      </c>
      <c r="D54" s="16" t="n">
        <v>290000</v>
      </c>
      <c r="E54" s="16">
        <f>C54*D54</f>
        <v/>
      </c>
      <c r="F54" s="17">
        <f>E54/$B$2</f>
        <v/>
      </c>
      <c r="G54" s="20" t="inlineStr">
        <is>
          <t>CORREGIDO</t>
        </is>
      </c>
      <c r="H54" s="19" t="inlineStr">
        <is>
          <t>Decía 24 m²; son 2,4 m² (4 ml × 0,60 m).</t>
        </is>
      </c>
    </row>
    <row r="55">
      <c r="A55" s="9" t="inlineStr">
        <is>
          <t>FALTANTES SEGÚN FICHA ESENCIAL (estimados en USD, reemplazar por precio real)</t>
        </is>
      </c>
      <c r="B55" s="10" t="n"/>
      <c r="C55" s="10" t="n"/>
      <c r="D55" s="11" t="n"/>
      <c r="E55" s="11" t="n"/>
      <c r="F55" s="12" t="n"/>
      <c r="G55" s="10" t="n"/>
      <c r="H55" s="13" t="n"/>
    </row>
    <row r="56">
      <c r="A56" s="14" t="inlineStr">
        <is>
          <t>Termotanque eléctrico Señorial</t>
        </is>
      </c>
      <c r="B56" s="14" t="inlineStr">
        <is>
          <t>gl</t>
        </is>
      </c>
      <c r="C56" s="14" t="n">
        <v>1</v>
      </c>
      <c r="D56" s="16">
        <f>250*$B$2</f>
        <v/>
      </c>
      <c r="E56" s="16">
        <f>C56*D56</f>
        <v/>
      </c>
      <c r="F56" s="17">
        <f>E56/$B$2</f>
        <v/>
      </c>
      <c r="G56" s="22" t="inlineStr">
        <is>
          <t>FALTANTE</t>
        </is>
      </c>
      <c r="H56" s="19" t="inlineStr">
        <is>
          <t>Estimado USD 250.</t>
        </is>
      </c>
    </row>
    <row r="57">
      <c r="A57" s="14" t="inlineStr">
        <is>
          <t>Cocina eléctrica</t>
        </is>
      </c>
      <c r="B57" s="14" t="inlineStr">
        <is>
          <t>gl</t>
        </is>
      </c>
      <c r="C57" s="14" t="n">
        <v>1</v>
      </c>
      <c r="D57" s="16">
        <f>450*$B$2</f>
        <v/>
      </c>
      <c r="E57" s="16">
        <f>C57*D57</f>
        <v/>
      </c>
      <c r="F57" s="17">
        <f>E57/$B$2</f>
        <v/>
      </c>
      <c r="G57" s="22" t="inlineStr">
        <is>
          <t>FALTANTE</t>
        </is>
      </c>
      <c r="H57" s="19" t="inlineStr">
        <is>
          <t>Estimado USD 450.</t>
        </is>
      </c>
    </row>
    <row r="58">
      <c r="A58" s="14" t="inlineStr">
        <is>
          <t>Preinstalación aire acondicionado (cañerías y desagüe)</t>
        </is>
      </c>
      <c r="B58" s="14" t="inlineStr">
        <is>
          <t>gl</t>
        </is>
      </c>
      <c r="C58" s="14" t="n">
        <v>1</v>
      </c>
      <c r="D58" s="16">
        <f>450*$B$2</f>
        <v/>
      </c>
      <c r="E58" s="16">
        <f>C58*D58</f>
        <v/>
      </c>
      <c r="F58" s="17">
        <f>E58/$B$2</f>
        <v/>
      </c>
      <c r="G58" s="22" t="inlineStr">
        <is>
          <t>FALTANTE</t>
        </is>
      </c>
      <c r="H58" s="19" t="inlineStr">
        <is>
          <t>Estimado USD 450.</t>
        </is>
      </c>
    </row>
    <row r="59">
      <c r="A59" s="14" t="inlineStr">
        <is>
          <t>Material de pintura exterior</t>
        </is>
      </c>
      <c r="B59" s="14" t="inlineStr">
        <is>
          <t>gl</t>
        </is>
      </c>
      <c r="C59" s="14" t="n">
        <v>1</v>
      </c>
      <c r="D59" s="16">
        <f>500*$B$2</f>
        <v/>
      </c>
      <c r="E59" s="16">
        <f>C59*D59</f>
        <v/>
      </c>
      <c r="F59" s="17">
        <f>E59/$B$2</f>
        <v/>
      </c>
      <c r="G59" s="22" t="inlineStr">
        <is>
          <t>FALTANTE</t>
        </is>
      </c>
      <c r="H59" s="19" t="inlineStr">
        <is>
          <t>Estimado USD 500.</t>
        </is>
      </c>
    </row>
    <row r="60">
      <c r="A60" s="14" t="n"/>
      <c r="B60" s="14" t="n"/>
      <c r="C60" s="14" t="n"/>
      <c r="D60" s="16" t="n"/>
      <c r="E60" s="16" t="n"/>
      <c r="F60" s="17" t="n"/>
      <c r="G60" s="14" t="n"/>
      <c r="H60" s="19" t="n"/>
    </row>
    <row r="61">
      <c r="A61" s="23" t="inlineStr">
        <is>
          <t>TOTAL MATERIALES Y SUBCONTRATOS</t>
        </is>
      </c>
      <c r="B61" s="14" t="n"/>
      <c r="C61" s="14" t="n"/>
      <c r="D61" s="16" t="n"/>
      <c r="E61" s="16">
        <f>SUM(E6:E59)</f>
        <v/>
      </c>
      <c r="F61" s="17">
        <f>E61/$B$2</f>
        <v/>
      </c>
      <c r="G61" s="14" t="n"/>
      <c r="H61" s="19" t="n"/>
    </row>
    <row r="62">
      <c r="A62" s="14" t="n"/>
      <c r="B62" s="14" t="n"/>
      <c r="C62" s="14" t="n"/>
      <c r="D62" s="16" t="n"/>
      <c r="E62" s="16" t="n"/>
      <c r="F62" s="17" t="n"/>
      <c r="G62" s="14" t="n"/>
      <c r="H62" s="19" t="n"/>
    </row>
    <row r="63">
      <c r="A63" s="9" t="inlineStr">
        <is>
          <t>MANO DE OBRA (cuadrilla propia, planilla 'Mano de obra Aura')</t>
        </is>
      </c>
      <c r="B63" s="10" t="n"/>
      <c r="C63" s="10" t="n"/>
      <c r="D63" s="11" t="n"/>
      <c r="E63" s="11" t="n"/>
      <c r="F63" s="12" t="n"/>
      <c r="G63" s="10" t="n"/>
      <c r="H63" s="13" t="n"/>
    </row>
    <row r="64">
      <c r="A64" s="14" t="inlineStr">
        <is>
          <t>Montaje del kit SIP (22 días × $240.000)</t>
        </is>
      </c>
      <c r="B64" s="14" t="inlineStr">
        <is>
          <t>gl</t>
        </is>
      </c>
      <c r="C64" s="14" t="n">
        <v>1</v>
      </c>
      <c r="D64" s="16" t="n">
        <v>5280000</v>
      </c>
      <c r="E64" s="16">
        <f>C64*D64</f>
        <v/>
      </c>
      <c r="F64" s="17">
        <f>E64/$B$2</f>
        <v/>
      </c>
      <c r="G64" s="14" t="inlineStr">
        <is>
          <t>OK</t>
        </is>
      </c>
      <c r="H64" s="19" t="inlineStr">
        <is>
          <t>Cuadrilla de 3: oficial especializado + oficial + ayudante.</t>
        </is>
      </c>
    </row>
    <row r="65">
      <c r="A65" s="14" t="inlineStr">
        <is>
          <t>Obra gris y terminaciones (54 días × $280.000)</t>
        </is>
      </c>
      <c r="B65" s="14" t="inlineStr">
        <is>
          <t>gl</t>
        </is>
      </c>
      <c r="C65" s="14" t="n">
        <v>1</v>
      </c>
      <c r="D65" s="16" t="n">
        <v>15120000</v>
      </c>
      <c r="E65" s="16">
        <f>C65*D65</f>
        <v/>
      </c>
      <c r="F65" s="17">
        <f>E65/$B$2</f>
        <v/>
      </c>
      <c r="G65" s="18" t="inlineStr">
        <is>
          <t>DUDA</t>
        </is>
      </c>
      <c r="H65" s="19" t="inlineStr">
        <is>
          <t>Incluye 13 días de instalaciones (ver mano de obra sanitaria y eléctrica). ¿Por qué $280.000 y no $240.000 por día?</t>
        </is>
      </c>
    </row>
    <row r="66">
      <c r="A66" s="14" t="n"/>
      <c r="B66" s="14" t="n"/>
      <c r="C66" s="14" t="n"/>
      <c r="D66" s="16" t="n"/>
      <c r="E66" s="16" t="n"/>
      <c r="F66" s="17" t="n"/>
      <c r="G66" s="14" t="n"/>
      <c r="H66" s="19" t="n"/>
    </row>
    <row r="67">
      <c r="A67" s="23" t="inlineStr">
        <is>
          <t>TOTAL MANO DE OBRA</t>
        </is>
      </c>
      <c r="B67" s="14" t="n"/>
      <c r="C67" s="14" t="n"/>
      <c r="D67" s="16" t="n"/>
      <c r="E67" s="16">
        <f>SUM(E64:E65)</f>
        <v/>
      </c>
      <c r="F67" s="17">
        <f>E67/$B$2</f>
        <v/>
      </c>
      <c r="G67" s="14" t="n"/>
      <c r="H67" s="19" t="n"/>
    </row>
    <row r="68">
      <c r="A68" s="14" t="n"/>
      <c r="B68" s="14" t="n"/>
      <c r="C68" s="14" t="n"/>
      <c r="D68" s="16" t="n"/>
      <c r="E68" s="16" t="n"/>
      <c r="F68" s="17" t="n"/>
      <c r="G68" s="14" t="n"/>
      <c r="H68" s="19" t="n"/>
    </row>
    <row r="69">
      <c r="A69" s="24" t="inlineStr">
        <is>
          <t>COSTO DIRECTO TOTAL</t>
        </is>
      </c>
      <c r="B69" s="14" t="n"/>
      <c r="C69" s="14" t="n"/>
      <c r="D69" s="16" t="n"/>
      <c r="E69" s="16">
        <f>E61+E67</f>
        <v/>
      </c>
      <c r="F69" s="17">
        <f>E69/$B$2</f>
        <v/>
      </c>
      <c r="G69" s="14" t="n"/>
      <c r="H69" s="19" t="n"/>
    </row>
    <row r="70">
      <c r="A70" s="23" t="inlineStr">
        <is>
          <t>Costo directo por m²</t>
        </is>
      </c>
      <c r="B70" s="14" t="n"/>
      <c r="C70" s="14" t="n"/>
      <c r="D70" s="16" t="n"/>
      <c r="E70" s="16" t="n"/>
      <c r="F70" s="17">
        <f>F69/$D$2</f>
        <v/>
      </c>
      <c r="G70" s="14" t="n"/>
      <c r="H70" s="19" t="n"/>
    </row>
    <row r="71">
      <c r="A71" s="14" t="n"/>
      <c r="B71" s="14" t="n"/>
      <c r="C71" s="14" t="n"/>
      <c r="D71" s="16" t="n"/>
      <c r="E71" s="16" t="n"/>
      <c r="F71" s="17" t="n"/>
      <c r="G71" s="14" t="n"/>
      <c r="H71" s="19" t="n"/>
    </row>
    <row r="72">
      <c r="A72" s="24" t="inlineStr">
        <is>
          <t>PRECIO DE VENTA</t>
        </is>
      </c>
      <c r="B72" s="14" t="n"/>
      <c r="C72" s="14" t="n"/>
      <c r="D72" s="16" t="n"/>
      <c r="E72" s="16" t="n"/>
      <c r="F72" s="17" t="n"/>
      <c r="G72" s="14" t="n"/>
      <c r="H72" s="19" t="n"/>
    </row>
    <row r="73">
      <c r="A73" s="14" t="inlineStr">
        <is>
          <t>Multiplicador de la mano de obra (margen)</t>
        </is>
      </c>
      <c r="B73" s="25" t="n">
        <v>1.5</v>
      </c>
      <c r="C73" s="14" t="n"/>
      <c r="D73" s="14" t="n"/>
      <c r="E73" s="16" t="n"/>
      <c r="F73" s="14" t="n"/>
      <c r="G73" s="14" t="n"/>
      <c r="H73" s="19" t="n"/>
    </row>
    <row r="74">
      <c r="A74" s="14" t="inlineStr">
        <is>
          <t>Margen = mano de obra × (multiplicador − 1)</t>
        </is>
      </c>
      <c r="B74" s="17">
        <f>F67*(B73-1)</f>
        <v/>
      </c>
      <c r="C74" s="14" t="n"/>
      <c r="D74" s="14" t="n"/>
      <c r="E74" s="16" t="n"/>
      <c r="F74" s="14" t="n"/>
      <c r="G74" s="14" t="n"/>
      <c r="H74" s="19" t="n"/>
    </row>
    <row r="75">
      <c r="A75" s="14" t="inlineStr">
        <is>
          <t>Comisión José Luis</t>
        </is>
      </c>
      <c r="B75" s="26" t="n">
        <v>0.01</v>
      </c>
      <c r="C75" s="14" t="n"/>
      <c r="D75" s="14" t="n"/>
      <c r="E75" s="16" t="n"/>
      <c r="F75" s="14" t="n"/>
      <c r="G75" s="14" t="n"/>
      <c r="H75" s="19" t="n"/>
    </row>
    <row r="76">
      <c r="A76" s="14" t="inlineStr">
        <is>
          <t>Comisión vendedor (2% a 3%)</t>
        </is>
      </c>
      <c r="B76" s="26" t="n">
        <v>0.025</v>
      </c>
      <c r="C76" s="14" t="n"/>
      <c r="D76" s="14" t="n"/>
      <c r="E76" s="16" t="n"/>
      <c r="F76" s="14" t="n"/>
      <c r="G76" s="14" t="n"/>
      <c r="H76" s="19" t="n"/>
    </row>
    <row r="77">
      <c r="A77" s="14" t="inlineStr">
        <is>
          <t>¿Comisiones se suman al precio? (Sí/No)</t>
        </is>
      </c>
      <c r="B77" s="18" t="inlineStr">
        <is>
          <t>Sí</t>
        </is>
      </c>
      <c r="C77" s="14" t="n"/>
      <c r="D77" s="14" t="n"/>
      <c r="E77" s="16" t="n"/>
      <c r="F77" s="14" t="n"/>
      <c r="G77" s="14" t="n"/>
      <c r="H77" s="19" t="n"/>
    </row>
    <row r="78">
      <c r="A78" s="23" t="inlineStr">
        <is>
          <t>PRECIO DE VENTA (USD)</t>
        </is>
      </c>
      <c r="B78" s="27">
        <f>IF(B77="Sí",(F69+B74)/(1-B75-B76),F69+B74)</f>
        <v/>
      </c>
      <c r="C78" s="14" t="n"/>
      <c r="D78" s="14" t="n"/>
      <c r="E78" s="16" t="n"/>
      <c r="F78" s="14" t="n"/>
      <c r="G78" s="14" t="n"/>
      <c r="H78" s="19" t="n"/>
    </row>
    <row r="79">
      <c r="A79" s="14" t="inlineStr">
        <is>
          <t>Precio por m² (USD)</t>
        </is>
      </c>
      <c r="B79" s="17">
        <f>B78/$D$2</f>
        <v/>
      </c>
      <c r="C79" s="14" t="n"/>
      <c r="D79" s="14" t="n"/>
      <c r="E79" s="16" t="n"/>
      <c r="F79" s="14" t="n"/>
      <c r="G79" s="14" t="n"/>
      <c r="H79" s="19" t="n"/>
    </row>
    <row r="80">
      <c r="A80" s="14" t="inlineStr">
        <is>
          <t>Comisiones (USD)</t>
        </is>
      </c>
      <c r="B80" s="17">
        <f>B78*(B75+B76)</f>
        <v/>
      </c>
      <c r="C80" s="14" t="n"/>
      <c r="D80" s="14" t="n"/>
      <c r="E80" s="16" t="n"/>
      <c r="F80" s="14" t="n"/>
      <c r="G80" s="14" t="n"/>
      <c r="H80" s="19" t="n"/>
    </row>
    <row r="81">
      <c r="A81" s="23" t="inlineStr">
        <is>
          <t>GANANCIA NETA UrbanSIP (USD)</t>
        </is>
      </c>
      <c r="B81" s="27">
        <f>B78-F69-B80</f>
        <v/>
      </c>
      <c r="C81" s="14" t="n"/>
      <c r="D81" s="14" t="n"/>
      <c r="E81" s="16" t="n"/>
      <c r="F81" s="14" t="n"/>
      <c r="G81" s="14" t="n"/>
      <c r="H81" s="19" t="n"/>
    </row>
    <row r="82">
      <c r="A82" s="14" t="inlineStr">
        <is>
          <t>Precio de la ficha: USD 1.200/m²</t>
        </is>
      </c>
      <c r="B82" s="28">
        <f>1200*$D$2</f>
        <v/>
      </c>
      <c r="C82" s="14" t="n"/>
      <c r="D82" s="14" t="n"/>
      <c r="E82" s="16" t="n"/>
      <c r="F82" s="14" t="n"/>
      <c r="G82" s="14" t="n"/>
      <c r="H82" s="19" t="n"/>
    </row>
    <row r="83">
      <c r="A83" s="14" t="inlineStr">
        <is>
          <t>Ganancia neta a precio de ficha (USD)</t>
        </is>
      </c>
      <c r="B83" s="17">
        <f>B82*(1-B75-B76)-F69</f>
        <v/>
      </c>
      <c r="C83" s="14" t="n"/>
      <c r="D83" s="14" t="n"/>
      <c r="E83" s="16" t="n"/>
      <c r="F83" s="14" t="n"/>
      <c r="G83" s="14" t="n"/>
      <c r="H83" s="19" t="n"/>
    </row>
    <row r="85">
      <c r="A85" s="4" t="inlineStr">
        <is>
          <t>No incluido todavía: proyecto, dirección de obra, logística hasta 50 km, gastos generales.</t>
        </is>
      </c>
    </row>
  </sheetData>
  <dataValidations count="1">
    <dataValidation sqref="B77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4" customWidth="1" min="3" max="3"/>
    <col width="80" customWidth="1" min="4" max="4"/>
    <col width="18" customWidth="1" min="5" max="5"/>
  </cols>
  <sheetData>
    <row r="1">
      <c r="A1" s="29" t="inlineStr">
        <is>
          <t>Errores corregidos y dudas para resolver</t>
        </is>
      </c>
    </row>
    <row r="3">
      <c r="A3" s="30" t="inlineStr">
        <is>
          <t>#</t>
        </is>
      </c>
      <c r="B3" s="30" t="inlineStr">
        <is>
          <t>Tipo</t>
        </is>
      </c>
      <c r="C3" s="30" t="inlineStr">
        <is>
          <t>Tema</t>
        </is>
      </c>
      <c r="D3" s="30" t="inlineStr">
        <is>
          <t>Detalle</t>
        </is>
      </c>
      <c r="E3" s="30" t="inlineStr">
        <is>
          <t>Impacto aprox. (USD)</t>
        </is>
      </c>
    </row>
    <row r="4">
      <c r="A4" s="14" t="n">
        <v>1</v>
      </c>
      <c r="B4" s="19" t="inlineStr">
        <is>
          <t>ERROR</t>
        </is>
      </c>
      <c r="C4" s="19" t="inlineStr">
        <is>
          <t>Mano de obra (planilla MdeO)</t>
        </is>
      </c>
      <c r="D4" s="19" t="inlineStr">
        <is>
          <t>El 'u$s/m² llave en mano' (263,83) toma los 54 días sin kit, los escala a 76 días (agrega los 22 días del kit a precio de obra gris) y además suma el kit (60 u$s/m²): el montaje del kit queda contado dos veces. También usa dólar $1.450 y $1.330. Costo real: $5.280.000 + $15.120.000 = $20.400.000 ≈ USD 13.160 (USD 180/m²). Ya corregido en este presupuesto.</t>
        </is>
      </c>
      <c r="E4" s="19" t="inlineStr">
        <is>
          <t>−6.100 de costo</t>
        </is>
      </c>
    </row>
    <row r="5">
      <c r="A5" s="14" t="n">
        <v>2</v>
      </c>
      <c r="B5" s="19" t="inlineStr">
        <is>
          <t>ERROR</t>
        </is>
      </c>
      <c r="C5" s="19" t="inlineStr">
        <is>
          <t>Contrapiso interior</t>
        </is>
      </c>
      <c r="D5" s="19" t="inlineStr">
        <is>
          <t>Precio por m³ aplicado a m².</t>
        </is>
      </c>
      <c r="E5" s="19" t="inlineStr">
        <is>
          <t>−3.710</t>
        </is>
      </c>
    </row>
    <row r="6">
      <c r="A6" s="14" t="n">
        <v>3</v>
      </c>
      <c r="B6" s="19" t="inlineStr">
        <is>
          <t>ERROR</t>
        </is>
      </c>
      <c r="C6" s="19" t="inlineStr">
        <is>
          <t>Carpeta 2 cm</t>
        </is>
      </c>
      <c r="D6" s="19" t="inlineStr">
        <is>
          <t>Contada dos veces.</t>
        </is>
      </c>
      <c r="E6" s="19" t="inlineStr">
        <is>
          <t>−506</t>
        </is>
      </c>
    </row>
    <row r="7">
      <c r="A7" s="14" t="n">
        <v>4</v>
      </c>
      <c r="B7" s="19" t="inlineStr">
        <is>
          <t>ERROR</t>
        </is>
      </c>
      <c r="C7" s="19" t="inlineStr">
        <is>
          <t>Mesadas</t>
        </is>
      </c>
      <c r="D7" s="19" t="inlineStr">
        <is>
          <t>24 m² en vez de 2,4 m².</t>
        </is>
      </c>
      <c r="E7" s="19" t="inlineStr">
        <is>
          <t>−4.040</t>
        </is>
      </c>
    </row>
    <row r="8">
      <c r="A8" s="14" t="n">
        <v>5</v>
      </c>
      <c r="B8" s="19" t="inlineStr">
        <is>
          <t>AJUSTE</t>
        </is>
      </c>
      <c r="C8" s="19" t="inlineStr">
        <is>
          <t>Kit SIPCOR</t>
        </is>
      </c>
      <c r="D8" s="19" t="inlineStr">
        <is>
          <t>Dólar $1.530 → $1.550.</t>
        </is>
      </c>
      <c r="E8" s="19" t="inlineStr">
        <is>
          <t>+227</t>
        </is>
      </c>
    </row>
    <row r="9">
      <c r="A9" s="14" t="n">
        <v>6</v>
      </c>
      <c r="B9" s="19" t="inlineStr">
        <is>
          <t>DUDA</t>
        </is>
      </c>
      <c r="C9" s="19" t="inlineStr">
        <is>
          <t>Margen</t>
        </is>
      </c>
      <c r="D9" s="19" t="inlineStr">
        <is>
          <t>Tu Excel de costos usa 340 u$s/m² de mano de obra como base del margen (venta 510). El costo real da 180. Con 1,5 × 180 la ganancia baja a ≈ USD 6.580. ¿Sobre qué mano de obra se aplica el 1,5?</t>
        </is>
      </c>
      <c r="E9" s="19" t="inlineStr">
        <is>
          <t>Decisión tuya</t>
        </is>
      </c>
    </row>
    <row r="10">
      <c r="A10" s="14" t="n">
        <v>7</v>
      </c>
      <c r="B10" s="19" t="inlineStr">
        <is>
          <t>DUDA</t>
        </is>
      </c>
      <c r="C10" s="19" t="inlineStr">
        <is>
          <t>Instalaciones</t>
        </is>
      </c>
      <c r="D10" s="19" t="inlineStr">
        <is>
          <t>Mano de obra sanitaria y eléctrica en materiales ($4.090.000) + 13 días en la planilla de mano de obra.</t>
        </is>
      </c>
      <c r="E10" s="19" t="inlineStr">
        <is>
          <t>hasta −2.640</t>
        </is>
      </c>
    </row>
    <row r="11">
      <c r="A11" s="14" t="n">
        <v>8</v>
      </c>
      <c r="B11" s="19" t="inlineStr">
        <is>
          <t>DUDA</t>
        </is>
      </c>
      <c r="C11" s="19" t="inlineStr">
        <is>
          <t>Sellado adicional</t>
        </is>
      </c>
      <c r="D11" s="19" t="inlineStr">
        <is>
          <t>El kit ya trae esos insumos.</t>
        </is>
      </c>
      <c r="E11" s="19" t="inlineStr">
        <is>
          <t>hasta −620</t>
        </is>
      </c>
    </row>
    <row r="12">
      <c r="A12" s="14" t="n">
        <v>9</v>
      </c>
      <c r="B12" s="19" t="inlineStr">
        <is>
          <t>DUDA</t>
        </is>
      </c>
      <c r="C12" s="19" t="inlineStr">
        <is>
          <t>Siding LP</t>
        </is>
      </c>
      <c r="D12" s="19" t="inlineStr">
        <is>
          <t>¿$15.000 es por placa o por m²? Si es por placa, el siding está calculado 3 veces de más.</t>
        </is>
      </c>
      <c r="E12" s="19" t="inlineStr">
        <is>
          <t>hasta −1.060</t>
        </is>
      </c>
    </row>
    <row r="13">
      <c r="A13" s="14" t="n">
        <v>10</v>
      </c>
      <c r="B13" s="19" t="inlineStr">
        <is>
          <t>DUDA</t>
        </is>
      </c>
      <c r="C13" s="19" t="inlineStr">
        <is>
          <t>Pilotines</t>
        </is>
      </c>
      <c r="D13" s="19" t="inlineStr">
        <is>
          <t>No sumados (0,86 m³).</t>
        </is>
      </c>
      <c r="E13" s="19" t="inlineStr">
        <is>
          <t>+175</t>
        </is>
      </c>
    </row>
    <row r="14">
      <c r="A14" s="14" t="n">
        <v>11</v>
      </c>
      <c r="B14" s="19" t="inlineStr">
        <is>
          <t>DUDA</t>
        </is>
      </c>
      <c r="C14" s="19" t="inlineStr">
        <is>
          <t>Aberturas aluminio</t>
        </is>
      </c>
      <c r="D14" s="19" t="inlineStr">
        <is>
          <t>Global de $5.000.000 sin cotización.</t>
        </is>
      </c>
      <c r="E14" s="19" t="inlineStr">
        <is>
          <t>?</t>
        </is>
      </c>
    </row>
    <row r="15">
      <c r="A15" s="14" t="n">
        <v>12</v>
      </c>
      <c r="B15" s="19" t="inlineStr">
        <is>
          <t>DUDA</t>
        </is>
      </c>
      <c r="C15" s="19" t="inlineStr">
        <is>
          <t>Jornal</t>
        </is>
      </c>
      <c r="D15" s="19" t="inlineStr">
        <is>
          <t>Kit a $240.000/día, resto a $280.000/día.</t>
        </is>
      </c>
      <c r="E15" s="19" t="inlineStr">
        <is>
          <t>?</t>
        </is>
      </c>
    </row>
    <row r="16">
      <c r="A16" s="14" t="n">
        <v>13</v>
      </c>
      <c r="B16" s="19" t="inlineStr">
        <is>
          <t>CONFORT</t>
        </is>
      </c>
      <c r="C16" s="19" t="inlineStr">
        <is>
          <t>Baño, extractor, mueble con alacena</t>
        </is>
      </c>
      <c r="D16" s="19" t="inlineStr">
        <is>
          <t>Están en el costo pero según la ficha son de Confort. Al separar Esencial, el costo baja.</t>
        </is>
      </c>
      <c r="E16" s="19" t="inlineStr">
        <is>
          <t>−1.500 a −2.500</t>
        </is>
      </c>
    </row>
    <row r="17">
      <c r="A17" s="14" t="n">
        <v>14</v>
      </c>
      <c r="B17" s="19" t="inlineStr">
        <is>
          <t>FICHA</t>
        </is>
      </c>
      <c r="C17" s="19" t="inlineStr">
        <is>
          <t>Ficha comercial</t>
        </is>
      </c>
      <c r="D17" s="19" t="inlineStr">
        <is>
          <t>Dice 72 m² (son 73). Pone Flexi Band/Easy Band como mejora de Confort pero el kit ya las trae. La división WPC no figura.</t>
        </is>
      </c>
      <c r="E17" s="19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2026-10-04T16:08:00Z</dcterms:created>
  <dcterms:modified xsi:type="dcterms:W3CDTF">2026-10-04T16:08:00Z</dcterms:modified>
</cp:coreProperties>
</file>