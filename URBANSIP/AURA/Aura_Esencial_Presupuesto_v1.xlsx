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supuesto" sheetId="1" state="visible" r:id="rId3"/>
    <sheet name="Errores y dud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<sst xmlns="http://schemas.openxmlformats.org/spreadsheetml/2006/main" count="269" uniqueCount="176">
  <si>
    <t xml:space="preserve">URBANSIP · AURA ESENCIAL · Presupuesto de costo v1 (precios al 30/09/26)</t>
  </si>
  <si>
    <t xml:space="preserve">Dólar BNA venta</t>
  </si>
  <si>
    <t xml:space="preserve">Superficie cubierta (m²)</t>
  </si>
  <si>
    <t xml:space="preserve">Documento interno: no enviar a clientes.</t>
  </si>
  <si>
    <t xml:space="preserve">Colores de la columna Estado: rojo = corregido, amarillo = duda, azul = es de Confort (encarece el Esencial), verde = faltante agregado (estimado).</t>
  </si>
  <si>
    <t xml:space="preserve">Ítem</t>
  </si>
  <si>
    <t xml:space="preserve">Un.</t>
  </si>
  <si>
    <t xml:space="preserve">Cantidad</t>
  </si>
  <si>
    <t xml:space="preserve">Precio unit. (ARS)</t>
  </si>
  <si>
    <t xml:space="preserve">Total (ARS)</t>
  </si>
  <si>
    <t xml:space="preserve">Total (USD)</t>
  </si>
  <si>
    <t xml:space="preserve">Estado</t>
  </si>
  <si>
    <t xml:space="preserve">Observación</t>
  </si>
  <si>
    <t xml:space="preserve">FUNDACIÓN</t>
  </si>
  <si>
    <t xml:space="preserve">Viga Fundacion con pilotines</t>
  </si>
  <si>
    <t xml:space="preserve">m3</t>
  </si>
  <si>
    <t xml:space="preserve">DUDA</t>
  </si>
  <si>
    <t xml:space="preserve">Solo cuenta 4,68 m³ de vigas. Los 18 pilotines (0,86 m³ ≈ USD 175) están calculados en la hoja Aux pero no se sumaron. Hierro: 60 kg/m³, parece bajo para vigas.</t>
  </si>
  <si>
    <t xml:space="preserve">Nylon incluye contrapiso perimetral se necesitan 115 m2 Rollo 100 m2</t>
  </si>
  <si>
    <t xml:space="preserve">rollo</t>
  </si>
  <si>
    <t xml:space="preserve">OK</t>
  </si>
  <si>
    <t xml:space="preserve">Contrapiso interior espesor 12 cm</t>
  </si>
  <si>
    <t xml:space="preserve">m2</t>
  </si>
  <si>
    <t xml:space="preserve">CORREGIDO</t>
  </si>
  <si>
    <t xml:space="preserve">Usaba el precio por m³ ($104.207) en vez del precio por m² ($12.505).</t>
  </si>
  <si>
    <t xml:space="preserve">Carpeta de cemento 2 cm</t>
  </si>
  <si>
    <t xml:space="preserve">Duplicada. Se elimina: la carpeta de 88,7 m² ya cubre todo.</t>
  </si>
  <si>
    <t xml:space="preserve">Contrapiso Exterior espesor 12 cm</t>
  </si>
  <si>
    <t xml:space="preserve">Carpeta de cemento</t>
  </si>
  <si>
    <t xml:space="preserve">MANTENIMIENTO DE OBRA</t>
  </si>
  <si>
    <t xml:space="preserve">Baño quimico mensual</t>
  </si>
  <si>
    <t xml:space="preserve">meses</t>
  </si>
  <si>
    <t xml:space="preserve">Limpieza de obra periodica. Volquetes</t>
  </si>
  <si>
    <t xml:space="preserve">Volq</t>
  </si>
  <si>
    <t xml:space="preserve">OBRA GRIS</t>
  </si>
  <si>
    <t xml:space="preserve">Paneles Kit Base OSB 11.1+EPS 15 kg/m3</t>
  </si>
  <si>
    <t xml:space="preserve">gl</t>
  </si>
  <si>
    <t xml:space="preserve">Presupuesto SIPCOR #2790: USD 17.600,37 con IVA. Se pasa al dólar de $1.550 (estaba a $1.530). Precio válido 5 días.</t>
  </si>
  <si>
    <t xml:space="preserve">Flete desde Cordoba</t>
  </si>
  <si>
    <t xml:space="preserve">¿Fijo o según destino? Confirmar con transportista.</t>
  </si>
  <si>
    <t xml:space="preserve">Materiales de sellado adicionales paredes y techo</t>
  </si>
  <si>
    <t xml:space="preserve">El kit SIPCOR ya trae cola PUR, espuma, membrana líquida y Flexi Band. Puede estar repetido.</t>
  </si>
  <si>
    <t xml:space="preserve">Dinteles 3x4</t>
  </si>
  <si>
    <t xml:space="preserve">ml</t>
  </si>
  <si>
    <t xml:space="preserve">Revestimiento placa de roca de yeso interior standard</t>
  </si>
  <si>
    <t xml:space="preserve">Revestimiento placa de roca de yeso interior RH</t>
  </si>
  <si>
    <t xml:space="preserve">Revestimiento Exterior siding LP</t>
  </si>
  <si>
    <t xml:space="preserve">Calcula 1,2 placas por m² a $15.000. Una placa de 2,44×1,22 cubre 2,98 m². Confirmar si $15.000 es por placa o por m².</t>
  </si>
  <si>
    <t xml:space="preserve">Techos Chapa acanalado completo</t>
  </si>
  <si>
    <t xml:space="preserve">Cabios 3×8 + alfajías + clavaderas 2×2 + chapa C25. Paneles y membrana de techo vienen en el kit.</t>
  </si>
  <si>
    <t xml:space="preserve">Canaletas</t>
  </si>
  <si>
    <t xml:space="preserve">Bajada de canaleta</t>
  </si>
  <si>
    <t xml:space="preserve">zingueria Carga</t>
  </si>
  <si>
    <t xml:space="preserve">Botagua arranque panel SIP</t>
  </si>
  <si>
    <t xml:space="preserve">Zingueria de dinteles</t>
  </si>
  <si>
    <t xml:space="preserve">INSTALACION SANITARIA</t>
  </si>
  <si>
    <t xml:space="preserve">Materiales Sanitarios</t>
  </si>
  <si>
    <t xml:space="preserve">Monto global. La hoja 'Mat. Sanit.' tiene el listado pero sin precios.</t>
  </si>
  <si>
    <t xml:space="preserve">Mano de Obra Sanitaria</t>
  </si>
  <si>
    <t xml:space="preserve">Se elimina: la mano de obra por m² de obra gris ya incluye instalaciones (Excel de costos: 'OBRA GRIS CON INST + DURLOCK').</t>
  </si>
  <si>
    <t xml:space="preserve">Artefactos Sanitarios Gas segun listado</t>
  </si>
  <si>
    <t xml:space="preserve">CONFORT</t>
  </si>
  <si>
    <t xml:space="preserve">Incluye Roca Mónaco, espejo y accesorios: según la ficha son de Confort. Esencial: Roca Capea, sin espejo ni accesorios.</t>
  </si>
  <si>
    <t xml:space="preserve">Extractores hidra 250</t>
  </si>
  <si>
    <t xml:space="preserve">u</t>
  </si>
  <si>
    <t xml:space="preserve">Según la ficha, el extractor de baño es de Confort.</t>
  </si>
  <si>
    <t xml:space="preserve">INSTALACION ELECTRICA</t>
  </si>
  <si>
    <t xml:space="preserve">Materiales electricos</t>
  </si>
  <si>
    <t xml:space="preserve">bocas</t>
  </si>
  <si>
    <t xml:space="preserve">40 bocas × $60.000 global (vivienda económica; antes 54). La hoja 'Mat. Electricos' tiene el listado pero sin precios.</t>
  </si>
  <si>
    <t xml:space="preserve">Mano de Obra Electrica</t>
  </si>
  <si>
    <t xml:space="preserve">Puertas interiores marco madera</t>
  </si>
  <si>
    <t xml:space="preserve">Puerta principal</t>
  </si>
  <si>
    <t xml:space="preserve">Carpinteria de Alum con DVH</t>
  </si>
  <si>
    <t xml:space="preserve">Monto global sin cotización: el listado de ventanas tiene precio 0.</t>
  </si>
  <si>
    <t xml:space="preserve">TERMINACIONES</t>
  </si>
  <si>
    <t xml:space="preserve">Piso Porcelanato y revestimiento</t>
  </si>
  <si>
    <t xml:space="preserve">68 m² de piso + 28,6 m² de revestimiento de baño y cocina.</t>
  </si>
  <si>
    <t xml:space="preserve">Piso de cemento alisado con endurecedor</t>
  </si>
  <si>
    <t xml:space="preserve">Zocalo madera PB</t>
  </si>
  <si>
    <t xml:space="preserve">El Excel dice PVC 5 cm; la ficha dice PVC 7 cm.</t>
  </si>
  <si>
    <t xml:space="preserve">AMURE CARPINTERIAS-HERRERIA</t>
  </si>
  <si>
    <t xml:space="preserve">Ajuste de puertas herrajes</t>
  </si>
  <si>
    <t xml:space="preserve">PINTURA</t>
  </si>
  <si>
    <t xml:space="preserve">Latex interior  Paredes</t>
  </si>
  <si>
    <t xml:space="preserve">Sin descontar vanos y sin látex en baño (criterio validado).</t>
  </si>
  <si>
    <t xml:space="preserve">Latex interior cielorraso</t>
  </si>
  <si>
    <t xml:space="preserve">VARIOS</t>
  </si>
  <si>
    <t xml:space="preserve">Estudio de suelos</t>
  </si>
  <si>
    <t xml:space="preserve">Mueble Cocina</t>
  </si>
  <si>
    <t xml:space="preserve">4 ml con alacena e isla. Esencial: solo bajo mesada.</t>
  </si>
  <si>
    <t xml:space="preserve">Division WPC incl. colocacion</t>
  </si>
  <si>
    <t xml:space="preserve">No figura en la ficha. ¿Va en Esencial?</t>
  </si>
  <si>
    <t xml:space="preserve">Mesadas granito gris mara 2 cm incl. zocalo traforo</t>
  </si>
  <si>
    <t xml:space="preserve">Decía 24 m²; son 2,4 m² (4 ml × 0,60 m).</t>
  </si>
  <si>
    <t xml:space="preserve">FALTANTES SEGÚN FICHA ESENCIAL (estimados en USD, reemplazar por precio real)</t>
  </si>
  <si>
    <t xml:space="preserve">Termotanque eléctrico Señorial</t>
  </si>
  <si>
    <t xml:space="preserve">FALTANTE</t>
  </si>
  <si>
    <t xml:space="preserve">Estimado USD 250.</t>
  </si>
  <si>
    <t xml:space="preserve">Cocina eléctrica</t>
  </si>
  <si>
    <t xml:space="preserve">Estimado USD 450.</t>
  </si>
  <si>
    <t xml:space="preserve">Preinstalación aire acondicionado (cañerías y desagüe)</t>
  </si>
  <si>
    <t xml:space="preserve">Material de pintura exterior</t>
  </si>
  <si>
    <t xml:space="preserve">Estimado USD 500.</t>
  </si>
  <si>
    <t xml:space="preserve">TOTAL MATERIALES Y SUBCONTRATOS</t>
  </si>
  <si>
    <t xml:space="preserve">MANO DE OBRA (por m², según Excel de costos: costo USD 340/m²)</t>
  </si>
  <si>
    <t xml:space="preserve">Mano de obra obra gris: montaje kit + instalaciones + durlock (u$s/m²)</t>
  </si>
  <si>
    <t xml:space="preserve">USD 204/m² (de los cuales USD 108,8 son el montaje del kit).</t>
  </si>
  <si>
    <t xml:space="preserve">Mano de obra terminaciones (u$s/m²)</t>
  </si>
  <si>
    <t xml:space="preserve">USD 136/m².</t>
  </si>
  <si>
    <t xml:space="preserve">TOTAL MANO DE OBRA</t>
  </si>
  <si>
    <t xml:space="preserve">COSTO DIRECTO TOTAL</t>
  </si>
  <si>
    <t xml:space="preserve">Costo directo por m²</t>
  </si>
  <si>
    <t xml:space="preserve">PRECIO DE VENTA</t>
  </si>
  <si>
    <t xml:space="preserve">Multiplicador de la mano de obra (margen)</t>
  </si>
  <si>
    <t xml:space="preserve">Margen = mano de obra × (multiplicador − 1)</t>
  </si>
  <si>
    <t xml:space="preserve">Comisión José Luis</t>
  </si>
  <si>
    <t xml:space="preserve">Comisión vendedor (2% a 3%)</t>
  </si>
  <si>
    <t xml:space="preserve">¿Comisiones se suman al precio? (Sí/No)</t>
  </si>
  <si>
    <t xml:space="preserve">Sí</t>
  </si>
  <si>
    <t xml:space="preserve">PRECIO DE VENTA (USD)</t>
  </si>
  <si>
    <t xml:space="preserve">Precio por m² (USD)</t>
  </si>
  <si>
    <t xml:space="preserve">Comisiones (USD)</t>
  </si>
  <si>
    <t xml:space="preserve">GANANCIA NETA UrbanSIP (USD)</t>
  </si>
  <si>
    <t xml:space="preserve">Precio de la ficha: USD 1.200/m²</t>
  </si>
  <si>
    <t xml:space="preserve">Ganancia neta a precio de ficha (USD)</t>
  </si>
  <si>
    <t xml:space="preserve">No incluido todavía: proyecto, dirección de obra, logística hasta 50 km, gastos generales.</t>
  </si>
  <si>
    <t xml:space="preserve">Errores corregidos y dudas para resolver</t>
  </si>
  <si>
    <t xml:space="preserve">#</t>
  </si>
  <si>
    <t xml:space="preserve">Tipo</t>
  </si>
  <si>
    <t xml:space="preserve">Tema</t>
  </si>
  <si>
    <t xml:space="preserve">Detalle</t>
  </si>
  <si>
    <t xml:space="preserve">Impacto aprox. (USD)</t>
  </si>
  <si>
    <t xml:space="preserve">DEFINIDO</t>
  </si>
  <si>
    <t xml:space="preserve">Mano de obra</t>
  </si>
  <si>
    <t xml:space="preserve">Adrián: la mano de obra se cobra por m². Costo USD 340/m² (obra gris con instalaciones y durlock 204 + terminaciones 136), venta 1,5 × = USD 510/m². La planilla 'Mano de obra Aura' (por jornales) queda solo como control: da USD 180/m² y además cuenta dos veces el montaje del kit.</t>
  </si>
  <si>
    <t xml:space="preserve">—</t>
  </si>
  <si>
    <t xml:space="preserve">ERROR</t>
  </si>
  <si>
    <t xml:space="preserve">Contrapiso interior</t>
  </si>
  <si>
    <t xml:space="preserve">Precio por m³ aplicado a m².</t>
  </si>
  <si>
    <t xml:space="preserve">−3.710</t>
  </si>
  <si>
    <t xml:space="preserve">Carpeta 2 cm</t>
  </si>
  <si>
    <t xml:space="preserve">Contada dos veces.</t>
  </si>
  <si>
    <t xml:space="preserve">−506</t>
  </si>
  <si>
    <t xml:space="preserve">Mesadas</t>
  </si>
  <si>
    <t xml:space="preserve">24 m² en vez de 2,4 m².</t>
  </si>
  <si>
    <t xml:space="preserve">−4.040</t>
  </si>
  <si>
    <t xml:space="preserve">AJUSTE</t>
  </si>
  <si>
    <t xml:space="preserve">Kit SIPCOR</t>
  </si>
  <si>
    <t xml:space="preserve">Dólar $1.530 → $1.550.</t>
  </si>
  <si>
    <t xml:space="preserve">+227</t>
  </si>
  <si>
    <t xml:space="preserve">Margen</t>
  </si>
  <si>
    <t xml:space="preserve">Margen = 1,5 × mano de obra por m² (USD 340). Ganancia ≈ USD 12.410.</t>
  </si>
  <si>
    <t xml:space="preserve">Instalaciones</t>
  </si>
  <si>
    <t xml:space="preserve">Mano de obra sanitaria y eléctrica de la hoja Materiales ($4.090.000) eliminada: ya está en la mano de obra por m² de obra gris ('con instalaciones').</t>
  </si>
  <si>
    <t xml:space="preserve">−2.640</t>
  </si>
  <si>
    <t xml:space="preserve">Sellado adicional</t>
  </si>
  <si>
    <t xml:space="preserve">El kit ya trae esos insumos.</t>
  </si>
  <si>
    <t xml:space="preserve">hasta −620</t>
  </si>
  <si>
    <t xml:space="preserve">Siding LP</t>
  </si>
  <si>
    <t xml:space="preserve">¿$15.000 es por placa o por m²? Si es por placa, el siding está calculado 3 veces de más.</t>
  </si>
  <si>
    <t xml:space="preserve">hasta −1.060</t>
  </si>
  <si>
    <t xml:space="preserve">Pilotines</t>
  </si>
  <si>
    <t xml:space="preserve">No sumados (0,86 m³).</t>
  </si>
  <si>
    <t xml:space="preserve">+175</t>
  </si>
  <si>
    <t xml:space="preserve">Aberturas aluminio</t>
  </si>
  <si>
    <t xml:space="preserve">Global de $5.000.000 sin cotización.</t>
  </si>
  <si>
    <t xml:space="preserve">?</t>
  </si>
  <si>
    <t xml:space="preserve">Jornal</t>
  </si>
  <si>
    <t xml:space="preserve">Kit a $240.000/día, resto a $280.000/día (solo afecta la planilla de control por jornales).</t>
  </si>
  <si>
    <t xml:space="preserve">Baño, extractor, mueble con alacena</t>
  </si>
  <si>
    <t xml:space="preserve">Están en el costo pero según la ficha son de Confort. Al separar Esencial, el costo baja.</t>
  </si>
  <si>
    <t xml:space="preserve">−1.500 a −2.500</t>
  </si>
  <si>
    <t xml:space="preserve">FICHA</t>
  </si>
  <si>
    <t xml:space="preserve">Ficha comercial</t>
  </si>
  <si>
    <t xml:space="preserve">Dice 72 m² (son 73). Pone Flexi Band/Easy Band como mejora de Confort pero el kit ya las trae. La división WPC no figura.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</si>
</sst>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&quot;USD &quot;#,##0"/>
    <numFmt numFmtId="167" formatCode="#,##0.00"/>
    <numFmt numFmtId="168" formatCode="0.0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9C000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3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2F5233"/>
        <bgColor rgb="FF333300"/>
      </patternFill>
    </fill>
    <fill>
      <patternFill patternType="solid">
        <fgColor rgb="FFD9D9D9"/>
        <bgColor rgb="FFDDEBF7"/>
      </patternFill>
    </fill>
    <fill>
      <patternFill patternType="solid">
        <fgColor rgb="FFF8CBAD"/>
        <bgColor rgb="FFD9D9D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v>1550</v>
      </c>
      <c r="C2" s="3" t="s">
        <v>2</v>
      </c>
      <c r="D2" s="4" t="n">
        <v>73</v>
      </c>
      <c r="E2" s="5" t="s">
        <v>3</v>
      </c>
    </row>
    <row r="3" customFormat="false" ht="15" hidden="false" customHeight="false" outlineLevel="0" collapsed="false">
      <c r="A3" s="0" t="s">
        <v>4</v>
      </c>
    </row>
    <row r="5" customFormat="false" ht="28.35" hidden="false" customHeight="false" outlineLevel="0" collapsed="false">
      <c r="A5" s="6" t="s">
        <v>5</v>
      </c>
      <c r="B5" s="6" t="s">
        <v>6</v>
      </c>
      <c r="C5" s="6" t="s">
        <v>7</v>
      </c>
      <c r="D5" s="7" t="s">
        <v>8</v>
      </c>
      <c r="E5" s="7" t="s">
        <v>9</v>
      </c>
      <c r="F5" s="8" t="s">
        <v>10</v>
      </c>
      <c r="G5" s="6" t="s">
        <v>11</v>
      </c>
      <c r="H5" s="9" t="s">
        <v>12</v>
      </c>
    </row>
    <row r="6" customFormat="false" ht="15" hidden="false" customHeight="false" outlineLevel="0" collapsed="false">
      <c r="A6" s="10" t="s">
        <v>13</v>
      </c>
      <c r="B6" s="11"/>
      <c r="C6" s="11"/>
      <c r="D6" s="12"/>
      <c r="E6" s="12"/>
      <c r="F6" s="13"/>
      <c r="G6" s="11"/>
      <c r="H6" s="14"/>
    </row>
    <row r="7" customFormat="false" ht="41.75" hidden="false" customHeight="false" outlineLevel="0" collapsed="false">
      <c r="A7" s="15" t="s">
        <v>14</v>
      </c>
      <c r="B7" s="15" t="s">
        <v>15</v>
      </c>
      <c r="C7" s="16" t="n">
        <v>4.68</v>
      </c>
      <c r="D7" s="17" t="n">
        <v>315615.691654546</v>
      </c>
      <c r="E7" s="17" t="n">
        <f aca="false">C7*D7</f>
        <v>1477081.43694327</v>
      </c>
      <c r="F7" s="18" t="n">
        <f aca="false">E7/$B$2</f>
        <v>952.955765769853</v>
      </c>
      <c r="G7" s="19" t="s">
        <v>16</v>
      </c>
      <c r="H7" s="20" t="s">
        <v>17</v>
      </c>
    </row>
    <row r="8" customFormat="false" ht="15" hidden="false" customHeight="false" outlineLevel="0" collapsed="false">
      <c r="A8" s="15" t="s">
        <v>18</v>
      </c>
      <c r="B8" s="15" t="s">
        <v>19</v>
      </c>
      <c r="C8" s="16" t="n">
        <v>1.5</v>
      </c>
      <c r="D8" s="17" t="n">
        <v>33000</v>
      </c>
      <c r="E8" s="17" t="n">
        <f aca="false">C8*D8</f>
        <v>49500</v>
      </c>
      <c r="F8" s="18" t="n">
        <f aca="false">E8/$B$2</f>
        <v>31.9354838709677</v>
      </c>
      <c r="G8" s="15" t="s">
        <v>20</v>
      </c>
      <c r="H8" s="20"/>
    </row>
    <row r="9" customFormat="false" ht="15" hidden="false" customHeight="false" outlineLevel="0" collapsed="false">
      <c r="A9" s="15" t="s">
        <v>21</v>
      </c>
      <c r="B9" s="15" t="s">
        <v>22</v>
      </c>
      <c r="C9" s="16" t="n">
        <v>62.7</v>
      </c>
      <c r="D9" s="17" t="n">
        <v>12504.888</v>
      </c>
      <c r="E9" s="17" t="n">
        <f aca="false">C9*D9</f>
        <v>784056.4776</v>
      </c>
      <c r="F9" s="18" t="n">
        <f aca="false">E9/$B$2</f>
        <v>505.842888774194</v>
      </c>
      <c r="G9" s="21" t="s">
        <v>23</v>
      </c>
      <c r="H9" s="20" t="s">
        <v>24</v>
      </c>
    </row>
    <row r="10" customFormat="false" ht="15" hidden="false" customHeight="false" outlineLevel="0" collapsed="false">
      <c r="A10" s="15" t="s">
        <v>25</v>
      </c>
      <c r="B10" s="15" t="s">
        <v>22</v>
      </c>
      <c r="C10" s="15" t="n">
        <v>0</v>
      </c>
      <c r="D10" s="17" t="n">
        <v>12504.888</v>
      </c>
      <c r="E10" s="17" t="n">
        <f aca="false">C10*D10</f>
        <v>0</v>
      </c>
      <c r="F10" s="18" t="n">
        <f aca="false">E10/$B$2</f>
        <v>0</v>
      </c>
      <c r="G10" s="21" t="s">
        <v>23</v>
      </c>
      <c r="H10" s="20" t="s">
        <v>26</v>
      </c>
    </row>
    <row r="11" customFormat="false" ht="15" hidden="false" customHeight="false" outlineLevel="0" collapsed="false">
      <c r="A11" s="15" t="s">
        <v>27</v>
      </c>
      <c r="B11" s="15" t="s">
        <v>22</v>
      </c>
      <c r="C11" s="15" t="n">
        <v>26</v>
      </c>
      <c r="D11" s="17" t="n">
        <v>12504.888</v>
      </c>
      <c r="E11" s="17" t="n">
        <f aca="false">C11*D11</f>
        <v>325127.088</v>
      </c>
      <c r="F11" s="18" t="n">
        <f aca="false">E11/$B$2</f>
        <v>209.759411612903</v>
      </c>
      <c r="G11" s="15" t="s">
        <v>20</v>
      </c>
      <c r="H11" s="20"/>
    </row>
    <row r="12" customFormat="false" ht="15" hidden="false" customHeight="false" outlineLevel="0" collapsed="false">
      <c r="A12" s="15" t="s">
        <v>28</v>
      </c>
      <c r="B12" s="15" t="s">
        <v>22</v>
      </c>
      <c r="C12" s="16" t="n">
        <v>88.7</v>
      </c>
      <c r="D12" s="17" t="n">
        <v>3271.89555</v>
      </c>
      <c r="E12" s="17" t="n">
        <f aca="false">C12*D12</f>
        <v>290217.135285</v>
      </c>
      <c r="F12" s="18" t="n">
        <f aca="false">E12/$B$2</f>
        <v>187.236861474194</v>
      </c>
      <c r="G12" s="15" t="s">
        <v>20</v>
      </c>
      <c r="H12" s="20"/>
    </row>
    <row r="13" customFormat="false" ht="15" hidden="false" customHeight="false" outlineLevel="0" collapsed="false">
      <c r="A13" s="10" t="s">
        <v>29</v>
      </c>
      <c r="B13" s="11"/>
      <c r="C13" s="11"/>
      <c r="D13" s="12"/>
      <c r="E13" s="12"/>
      <c r="F13" s="13"/>
      <c r="G13" s="11"/>
      <c r="H13" s="14"/>
    </row>
    <row r="14" customFormat="false" ht="15" hidden="false" customHeight="false" outlineLevel="0" collapsed="false">
      <c r="A14" s="15" t="s">
        <v>30</v>
      </c>
      <c r="B14" s="15" t="s">
        <v>31</v>
      </c>
      <c r="C14" s="15" t="n">
        <v>3</v>
      </c>
      <c r="D14" s="17" t="n">
        <v>80000</v>
      </c>
      <c r="E14" s="17" t="n">
        <f aca="false">C14*D14</f>
        <v>240000</v>
      </c>
      <c r="F14" s="18" t="n">
        <f aca="false">E14/$B$2</f>
        <v>154.838709677419</v>
      </c>
      <c r="G14" s="15" t="s">
        <v>20</v>
      </c>
      <c r="H14" s="20"/>
    </row>
    <row r="15" customFormat="false" ht="15" hidden="false" customHeight="false" outlineLevel="0" collapsed="false">
      <c r="A15" s="15" t="s">
        <v>32</v>
      </c>
      <c r="B15" s="15" t="s">
        <v>33</v>
      </c>
      <c r="C15" s="15" t="n">
        <v>3</v>
      </c>
      <c r="D15" s="17" t="n">
        <v>140000</v>
      </c>
      <c r="E15" s="17" t="n">
        <f aca="false">C15*D15</f>
        <v>420000</v>
      </c>
      <c r="F15" s="18" t="n">
        <f aca="false">E15/$B$2</f>
        <v>270.967741935484</v>
      </c>
      <c r="G15" s="15" t="s">
        <v>20</v>
      </c>
      <c r="H15" s="20"/>
    </row>
    <row r="16" customFormat="false" ht="15" hidden="false" customHeight="false" outlineLevel="0" collapsed="false">
      <c r="A16" s="10" t="s">
        <v>34</v>
      </c>
      <c r="B16" s="11"/>
      <c r="C16" s="11"/>
      <c r="D16" s="12"/>
      <c r="E16" s="12"/>
      <c r="F16" s="13"/>
      <c r="G16" s="11"/>
      <c r="H16" s="14"/>
    </row>
    <row r="17" customFormat="false" ht="28.35" hidden="false" customHeight="false" outlineLevel="0" collapsed="false">
      <c r="A17" s="15" t="s">
        <v>35</v>
      </c>
      <c r="B17" s="15" t="s">
        <v>36</v>
      </c>
      <c r="C17" s="15" t="n">
        <v>1</v>
      </c>
      <c r="D17" s="17" t="n">
        <f aca="false">17600.37*$B$2</f>
        <v>27280573.5</v>
      </c>
      <c r="E17" s="17" t="n">
        <f aca="false">C17*D17</f>
        <v>27280573.5</v>
      </c>
      <c r="F17" s="18" t="n">
        <f aca="false">E17/$B$2</f>
        <v>17600.37</v>
      </c>
      <c r="G17" s="21" t="s">
        <v>23</v>
      </c>
      <c r="H17" s="20" t="s">
        <v>37</v>
      </c>
    </row>
    <row r="18" customFormat="false" ht="15" hidden="false" customHeight="false" outlineLevel="0" collapsed="false">
      <c r="A18" s="15" t="s">
        <v>38</v>
      </c>
      <c r="B18" s="15" t="s">
        <v>36</v>
      </c>
      <c r="C18" s="15" t="n">
        <v>1</v>
      </c>
      <c r="D18" s="17" t="n">
        <v>800000</v>
      </c>
      <c r="E18" s="17" t="n">
        <f aca="false">C18*D18</f>
        <v>800000</v>
      </c>
      <c r="F18" s="18" t="n">
        <f aca="false">E18/$B$2</f>
        <v>516.129032258065</v>
      </c>
      <c r="G18" s="19" t="s">
        <v>16</v>
      </c>
      <c r="H18" s="20" t="s">
        <v>39</v>
      </c>
    </row>
    <row r="19" customFormat="false" ht="28.35" hidden="false" customHeight="false" outlineLevel="0" collapsed="false">
      <c r="A19" s="15" t="s">
        <v>40</v>
      </c>
      <c r="B19" s="15" t="s">
        <v>36</v>
      </c>
      <c r="C19" s="15" t="n">
        <v>1</v>
      </c>
      <c r="D19" s="17" t="n">
        <v>956000</v>
      </c>
      <c r="E19" s="17" t="n">
        <f aca="false">C19*D19</f>
        <v>956000</v>
      </c>
      <c r="F19" s="18" t="n">
        <f aca="false">E19/$B$2</f>
        <v>616.774193548387</v>
      </c>
      <c r="G19" s="19" t="s">
        <v>16</v>
      </c>
      <c r="H19" s="20" t="s">
        <v>41</v>
      </c>
    </row>
    <row r="20" customFormat="false" ht="15" hidden="false" customHeight="false" outlineLevel="0" collapsed="false">
      <c r="A20" s="15" t="s">
        <v>42</v>
      </c>
      <c r="B20" s="15" t="s">
        <v>43</v>
      </c>
      <c r="C20" s="15" t="n">
        <v>15</v>
      </c>
      <c r="D20" s="17" t="n">
        <v>10000</v>
      </c>
      <c r="E20" s="17" t="n">
        <f aca="false">C20*D20</f>
        <v>150000</v>
      </c>
      <c r="F20" s="18" t="n">
        <f aca="false">E20/$B$2</f>
        <v>96.7741935483871</v>
      </c>
      <c r="G20" s="15" t="s">
        <v>20</v>
      </c>
      <c r="H20" s="20"/>
    </row>
    <row r="21" customFormat="false" ht="15" hidden="false" customHeight="false" outlineLevel="0" collapsed="false">
      <c r="A21" s="15" t="s">
        <v>44</v>
      </c>
      <c r="B21" s="15" t="s">
        <v>22</v>
      </c>
      <c r="C21" s="16" t="n">
        <v>137.5008</v>
      </c>
      <c r="D21" s="17" t="n">
        <v>7272.76486388889</v>
      </c>
      <c r="E21" s="17" t="n">
        <f aca="false">C21*D21</f>
        <v>1000010.98699661</v>
      </c>
      <c r="F21" s="18" t="n">
        <f aca="false">E21/$B$2</f>
        <v>645.168378707493</v>
      </c>
      <c r="G21" s="15" t="s">
        <v>20</v>
      </c>
      <c r="H21" s="20"/>
    </row>
    <row r="22" customFormat="false" ht="15" hidden="false" customHeight="false" outlineLevel="0" collapsed="false">
      <c r="A22" s="15" t="s">
        <v>45</v>
      </c>
      <c r="B22" s="15" t="s">
        <v>22</v>
      </c>
      <c r="C22" s="16" t="n">
        <v>29.2</v>
      </c>
      <c r="D22" s="17" t="n">
        <v>13106.6190305556</v>
      </c>
      <c r="E22" s="17" t="n">
        <f aca="false">C22*D22</f>
        <v>382713.275692222</v>
      </c>
      <c r="F22" s="18" t="n">
        <f aca="false">E22/$B$2</f>
        <v>246.911790769176</v>
      </c>
      <c r="G22" s="15" t="s">
        <v>20</v>
      </c>
      <c r="H22" s="20"/>
    </row>
    <row r="23" customFormat="false" ht="28.35" hidden="false" customHeight="false" outlineLevel="0" collapsed="false">
      <c r="A23" s="15" t="s">
        <v>46</v>
      </c>
      <c r="B23" s="15" t="s">
        <v>22</v>
      </c>
      <c r="C23" s="16" t="n">
        <v>136.9328</v>
      </c>
      <c r="D23" s="17" t="n">
        <v>18055.04</v>
      </c>
      <c r="E23" s="17" t="n">
        <f aca="false">C23*D23</f>
        <v>2472327.181312</v>
      </c>
      <c r="F23" s="18" t="n">
        <f aca="false">E23/$B$2</f>
        <v>1595.04979439484</v>
      </c>
      <c r="G23" s="19" t="s">
        <v>16</v>
      </c>
      <c r="H23" s="20" t="s">
        <v>47</v>
      </c>
    </row>
    <row r="24" customFormat="false" ht="28.35" hidden="false" customHeight="false" outlineLevel="0" collapsed="false">
      <c r="A24" s="15" t="s">
        <v>48</v>
      </c>
      <c r="B24" s="15" t="s">
        <v>22</v>
      </c>
      <c r="C24" s="15" t="n">
        <v>78</v>
      </c>
      <c r="D24" s="17" t="n">
        <v>45303.1282051282</v>
      </c>
      <c r="E24" s="17" t="n">
        <f aca="false">C24*D24</f>
        <v>3533644</v>
      </c>
      <c r="F24" s="18" t="n">
        <f aca="false">E24/$B$2</f>
        <v>2279.77032258065</v>
      </c>
      <c r="G24" s="15" t="s">
        <v>20</v>
      </c>
      <c r="H24" s="20" t="s">
        <v>49</v>
      </c>
    </row>
    <row r="25" customFormat="false" ht="15" hidden="false" customHeight="false" outlineLevel="0" collapsed="false">
      <c r="A25" s="15" t="s">
        <v>50</v>
      </c>
      <c r="B25" s="15" t="s">
        <v>43</v>
      </c>
      <c r="C25" s="15" t="n">
        <v>12</v>
      </c>
      <c r="D25" s="17" t="n">
        <v>25000</v>
      </c>
      <c r="E25" s="17" t="n">
        <f aca="false">C25*D25</f>
        <v>300000</v>
      </c>
      <c r="F25" s="18" t="n">
        <f aca="false">E25/$B$2</f>
        <v>193.548387096774</v>
      </c>
      <c r="G25" s="15" t="s">
        <v>20</v>
      </c>
      <c r="H25" s="20"/>
    </row>
    <row r="26" customFormat="false" ht="15" hidden="false" customHeight="false" outlineLevel="0" collapsed="false">
      <c r="A26" s="15" t="s">
        <v>51</v>
      </c>
      <c r="B26" s="15" t="s">
        <v>43</v>
      </c>
      <c r="C26" s="15" t="n">
        <v>8</v>
      </c>
      <c r="D26" s="17" t="n">
        <v>25000</v>
      </c>
      <c r="E26" s="17" t="n">
        <f aca="false">C26*D26</f>
        <v>200000</v>
      </c>
      <c r="F26" s="18" t="n">
        <f aca="false">E26/$B$2</f>
        <v>129.032258064516</v>
      </c>
      <c r="G26" s="15" t="s">
        <v>20</v>
      </c>
      <c r="H26" s="20"/>
    </row>
    <row r="27" customFormat="false" ht="15" hidden="false" customHeight="false" outlineLevel="0" collapsed="false">
      <c r="A27" s="15" t="s">
        <v>52</v>
      </c>
      <c r="B27" s="15" t="s">
        <v>43</v>
      </c>
      <c r="C27" s="15" t="n">
        <v>30</v>
      </c>
      <c r="D27" s="17" t="n">
        <v>20000</v>
      </c>
      <c r="E27" s="17" t="n">
        <f aca="false">C27*D27</f>
        <v>600000</v>
      </c>
      <c r="F27" s="18" t="n">
        <f aca="false">E27/$B$2</f>
        <v>387.096774193548</v>
      </c>
      <c r="G27" s="15" t="s">
        <v>20</v>
      </c>
      <c r="H27" s="20"/>
    </row>
    <row r="28" customFormat="false" ht="15" hidden="false" customHeight="false" outlineLevel="0" collapsed="false">
      <c r="A28" s="15" t="s">
        <v>53</v>
      </c>
      <c r="B28" s="15" t="s">
        <v>43</v>
      </c>
      <c r="C28" s="15" t="n">
        <v>50</v>
      </c>
      <c r="D28" s="17" t="n">
        <v>15000</v>
      </c>
      <c r="E28" s="17" t="n">
        <f aca="false">C28*D28</f>
        <v>750000</v>
      </c>
      <c r="F28" s="18" t="n">
        <f aca="false">E28/$B$2</f>
        <v>483.870967741936</v>
      </c>
      <c r="G28" s="15" t="s">
        <v>20</v>
      </c>
      <c r="H28" s="20"/>
    </row>
    <row r="29" customFormat="false" ht="15" hidden="false" customHeight="false" outlineLevel="0" collapsed="false">
      <c r="A29" s="15" t="s">
        <v>54</v>
      </c>
      <c r="B29" s="15" t="s">
        <v>43</v>
      </c>
      <c r="C29" s="16" t="n">
        <v>13</v>
      </c>
      <c r="D29" s="17" t="n">
        <v>15000</v>
      </c>
      <c r="E29" s="17" t="n">
        <f aca="false">C29*D29</f>
        <v>195000</v>
      </c>
      <c r="F29" s="18" t="n">
        <f aca="false">E29/$B$2</f>
        <v>125.806451612903</v>
      </c>
      <c r="G29" s="15" t="s">
        <v>20</v>
      </c>
      <c r="H29" s="20"/>
    </row>
    <row r="30" customFormat="false" ht="15" hidden="false" customHeight="false" outlineLevel="0" collapsed="false">
      <c r="A30" s="10" t="s">
        <v>55</v>
      </c>
      <c r="B30" s="11"/>
      <c r="C30" s="11"/>
      <c r="D30" s="12"/>
      <c r="E30" s="12"/>
      <c r="F30" s="13"/>
      <c r="G30" s="11"/>
      <c r="H30" s="14"/>
    </row>
    <row r="31" customFormat="false" ht="15" hidden="false" customHeight="false" outlineLevel="0" collapsed="false">
      <c r="A31" s="15" t="s">
        <v>56</v>
      </c>
      <c r="B31" s="15" t="s">
        <v>36</v>
      </c>
      <c r="C31" s="15" t="n">
        <v>1</v>
      </c>
      <c r="D31" s="17" t="n">
        <v>850000</v>
      </c>
      <c r="E31" s="17" t="n">
        <f aca="false">C31*D31</f>
        <v>850000</v>
      </c>
      <c r="F31" s="18" t="n">
        <f aca="false">E31/$B$2</f>
        <v>548.387096774194</v>
      </c>
      <c r="G31" s="19" t="s">
        <v>16</v>
      </c>
      <c r="H31" s="20" t="s">
        <v>57</v>
      </c>
    </row>
    <row r="32" customFormat="false" ht="28.35" hidden="false" customHeight="false" outlineLevel="0" collapsed="false">
      <c r="A32" s="15" t="s">
        <v>58</v>
      </c>
      <c r="B32" s="15" t="s">
        <v>36</v>
      </c>
      <c r="C32" s="15" t="n">
        <v>0</v>
      </c>
      <c r="D32" s="17" t="n">
        <v>850000</v>
      </c>
      <c r="E32" s="17" t="n">
        <f aca="false">C32*D32</f>
        <v>0</v>
      </c>
      <c r="F32" s="18" t="n">
        <f aca="false">E32/$B$2</f>
        <v>0</v>
      </c>
      <c r="G32" s="21" t="s">
        <v>23</v>
      </c>
      <c r="H32" s="20" t="s">
        <v>59</v>
      </c>
    </row>
    <row r="33" customFormat="false" ht="28.35" hidden="false" customHeight="false" outlineLevel="0" collapsed="false">
      <c r="A33" s="15" t="s">
        <v>60</v>
      </c>
      <c r="B33" s="15" t="s">
        <v>36</v>
      </c>
      <c r="C33" s="15" t="n">
        <v>1</v>
      </c>
      <c r="D33" s="17" t="n">
        <v>1172000</v>
      </c>
      <c r="E33" s="17" t="n">
        <f aca="false">C33*D33</f>
        <v>1172000</v>
      </c>
      <c r="F33" s="18" t="n">
        <f aca="false">E33/$B$2</f>
        <v>756.129032258065</v>
      </c>
      <c r="G33" s="22" t="s">
        <v>61</v>
      </c>
      <c r="H33" s="20" t="s">
        <v>62</v>
      </c>
    </row>
    <row r="34" customFormat="false" ht="15" hidden="false" customHeight="false" outlineLevel="0" collapsed="false">
      <c r="A34" s="15" t="s">
        <v>63</v>
      </c>
      <c r="B34" s="15" t="s">
        <v>64</v>
      </c>
      <c r="C34" s="15" t="n">
        <v>1</v>
      </c>
      <c r="D34" s="17" t="n">
        <v>32000</v>
      </c>
      <c r="E34" s="17" t="n">
        <f aca="false">C34*D34</f>
        <v>32000</v>
      </c>
      <c r="F34" s="18" t="n">
        <f aca="false">E34/$B$2</f>
        <v>20.6451612903226</v>
      </c>
      <c r="G34" s="22" t="s">
        <v>61</v>
      </c>
      <c r="H34" s="20" t="s">
        <v>65</v>
      </c>
    </row>
    <row r="35" customFormat="false" ht="15" hidden="false" customHeight="false" outlineLevel="0" collapsed="false">
      <c r="A35" s="10" t="s">
        <v>66</v>
      </c>
      <c r="B35" s="11"/>
      <c r="C35" s="11"/>
      <c r="D35" s="12"/>
      <c r="E35" s="12"/>
      <c r="F35" s="13"/>
      <c r="G35" s="11"/>
      <c r="H35" s="14"/>
    </row>
    <row r="36" customFormat="false" ht="28.35" hidden="false" customHeight="false" outlineLevel="0" collapsed="false">
      <c r="A36" s="15" t="s">
        <v>67</v>
      </c>
      <c r="B36" s="15" t="s">
        <v>68</v>
      </c>
      <c r="C36" s="15" t="n">
        <v>40</v>
      </c>
      <c r="D36" s="17" t="n">
        <v>60000</v>
      </c>
      <c r="E36" s="17" t="n">
        <f aca="false">C36*D36</f>
        <v>2400000</v>
      </c>
      <c r="F36" s="18" t="n">
        <f aca="false">E36/$B$2</f>
        <v>1548.38709677419</v>
      </c>
      <c r="G36" s="19" t="s">
        <v>16</v>
      </c>
      <c r="H36" s="20" t="s">
        <v>69</v>
      </c>
    </row>
    <row r="37" customFormat="false" ht="28.35" hidden="false" customHeight="false" outlineLevel="0" collapsed="false">
      <c r="A37" s="15" t="s">
        <v>70</v>
      </c>
      <c r="B37" s="15" t="s">
        <v>68</v>
      </c>
      <c r="C37" s="15" t="n">
        <v>0</v>
      </c>
      <c r="D37" s="17" t="n">
        <v>60000</v>
      </c>
      <c r="E37" s="17" t="n">
        <f aca="false">C37*D37</f>
        <v>0</v>
      </c>
      <c r="F37" s="18" t="n">
        <f aca="false">E37/$B$2</f>
        <v>0</v>
      </c>
      <c r="G37" s="21" t="s">
        <v>23</v>
      </c>
      <c r="H37" s="20" t="s">
        <v>59</v>
      </c>
    </row>
    <row r="38" customFormat="false" ht="15" hidden="false" customHeight="false" outlineLevel="0" collapsed="false">
      <c r="A38" s="15" t="s">
        <v>71</v>
      </c>
      <c r="B38" s="15" t="s">
        <v>64</v>
      </c>
      <c r="C38" s="15" t="n">
        <v>3</v>
      </c>
      <c r="D38" s="17" t="n">
        <v>260000</v>
      </c>
      <c r="E38" s="17" t="n">
        <f aca="false">C38*D38</f>
        <v>780000</v>
      </c>
      <c r="F38" s="18" t="n">
        <f aca="false">E38/$B$2</f>
        <v>503.225806451613</v>
      </c>
      <c r="G38" s="15" t="s">
        <v>20</v>
      </c>
      <c r="H38" s="20"/>
    </row>
    <row r="39" customFormat="false" ht="15" hidden="false" customHeight="false" outlineLevel="0" collapsed="false">
      <c r="A39" s="15" t="s">
        <v>72</v>
      </c>
      <c r="B39" s="15" t="s">
        <v>64</v>
      </c>
      <c r="C39" s="15" t="n">
        <v>1</v>
      </c>
      <c r="D39" s="17" t="n">
        <v>1900000</v>
      </c>
      <c r="E39" s="17" t="n">
        <f aca="false">C39*D39</f>
        <v>1900000</v>
      </c>
      <c r="F39" s="18" t="n">
        <f aca="false">E39/$B$2</f>
        <v>1225.8064516129</v>
      </c>
      <c r="G39" s="15" t="s">
        <v>20</v>
      </c>
      <c r="H39" s="20"/>
    </row>
    <row r="40" customFormat="false" ht="15" hidden="false" customHeight="false" outlineLevel="0" collapsed="false">
      <c r="A40" s="15" t="s">
        <v>73</v>
      </c>
      <c r="B40" s="15" t="s">
        <v>36</v>
      </c>
      <c r="C40" s="15" t="n">
        <v>1</v>
      </c>
      <c r="D40" s="17" t="n">
        <v>5000000</v>
      </c>
      <c r="E40" s="17" t="n">
        <f aca="false">C40*D40</f>
        <v>5000000</v>
      </c>
      <c r="F40" s="18" t="n">
        <f aca="false">E40/$B$2</f>
        <v>3225.8064516129</v>
      </c>
      <c r="G40" s="19" t="s">
        <v>16</v>
      </c>
      <c r="H40" s="20" t="s">
        <v>74</v>
      </c>
    </row>
    <row r="41" customFormat="false" ht="15" hidden="false" customHeight="false" outlineLevel="0" collapsed="false">
      <c r="A41" s="10" t="s">
        <v>75</v>
      </c>
      <c r="B41" s="11"/>
      <c r="C41" s="11"/>
      <c r="D41" s="12"/>
      <c r="E41" s="12"/>
      <c r="F41" s="13"/>
      <c r="G41" s="11"/>
      <c r="H41" s="14"/>
    </row>
    <row r="42" customFormat="false" ht="15" hidden="false" customHeight="false" outlineLevel="0" collapsed="false">
      <c r="A42" s="15" t="s">
        <v>76</v>
      </c>
      <c r="B42" s="15" t="s">
        <v>22</v>
      </c>
      <c r="C42" s="16" t="n">
        <v>96.565</v>
      </c>
      <c r="D42" s="17" t="n">
        <v>32379.6</v>
      </c>
      <c r="E42" s="17" t="n">
        <f aca="false">C42*D42</f>
        <v>3126736.074</v>
      </c>
      <c r="F42" s="18" t="n">
        <f aca="false">E42/$B$2</f>
        <v>2017.24908</v>
      </c>
      <c r="G42" s="15" t="s">
        <v>20</v>
      </c>
      <c r="H42" s="20" t="s">
        <v>77</v>
      </c>
    </row>
    <row r="43" customFormat="false" ht="15" hidden="false" customHeight="false" outlineLevel="0" collapsed="false">
      <c r="A43" s="15" t="s">
        <v>78</v>
      </c>
      <c r="B43" s="15" t="s">
        <v>22</v>
      </c>
      <c r="C43" s="15" t="n">
        <v>26</v>
      </c>
      <c r="D43" s="17" t="n">
        <v>45000</v>
      </c>
      <c r="E43" s="17" t="n">
        <f aca="false">C43*D43</f>
        <v>1170000</v>
      </c>
      <c r="F43" s="18" t="n">
        <f aca="false">E43/$B$2</f>
        <v>754.838709677419</v>
      </c>
      <c r="G43" s="15" t="s">
        <v>20</v>
      </c>
      <c r="H43" s="20"/>
    </row>
    <row r="44" customFormat="false" ht="15" hidden="false" customHeight="false" outlineLevel="0" collapsed="false">
      <c r="A44" s="15" t="s">
        <v>79</v>
      </c>
      <c r="B44" s="15" t="s">
        <v>43</v>
      </c>
      <c r="C44" s="16" t="n">
        <v>58.8</v>
      </c>
      <c r="D44" s="17" t="n">
        <v>5000</v>
      </c>
      <c r="E44" s="17" t="n">
        <f aca="false">C44*D44</f>
        <v>294000</v>
      </c>
      <c r="F44" s="18" t="n">
        <f aca="false">E44/$B$2</f>
        <v>189.677419354839</v>
      </c>
      <c r="G44" s="19" t="s">
        <v>16</v>
      </c>
      <c r="H44" s="20" t="s">
        <v>80</v>
      </c>
    </row>
    <row r="45" customFormat="false" ht="15" hidden="false" customHeight="false" outlineLevel="0" collapsed="false">
      <c r="A45" s="10" t="s">
        <v>81</v>
      </c>
      <c r="B45" s="11"/>
      <c r="C45" s="11"/>
      <c r="D45" s="12"/>
      <c r="E45" s="12"/>
      <c r="F45" s="13"/>
      <c r="G45" s="11"/>
      <c r="H45" s="14"/>
    </row>
    <row r="46" customFormat="false" ht="15" hidden="false" customHeight="false" outlineLevel="0" collapsed="false">
      <c r="A46" s="15" t="s">
        <v>82</v>
      </c>
      <c r="B46" s="15" t="s">
        <v>64</v>
      </c>
      <c r="C46" s="15" t="n">
        <v>3</v>
      </c>
      <c r="D46" s="17" t="n">
        <v>11000</v>
      </c>
      <c r="E46" s="17" t="n">
        <f aca="false">C46*D46</f>
        <v>33000</v>
      </c>
      <c r="F46" s="18" t="n">
        <f aca="false">E46/$B$2</f>
        <v>21.2903225806452</v>
      </c>
      <c r="G46" s="15" t="s">
        <v>20</v>
      </c>
      <c r="H46" s="20"/>
    </row>
    <row r="47" customFormat="false" ht="15" hidden="false" customHeight="false" outlineLevel="0" collapsed="false">
      <c r="A47" s="10" t="s">
        <v>83</v>
      </c>
      <c r="B47" s="11"/>
      <c r="C47" s="11"/>
      <c r="D47" s="12"/>
      <c r="E47" s="12"/>
      <c r="F47" s="13"/>
      <c r="G47" s="11"/>
      <c r="H47" s="14"/>
    </row>
    <row r="48" customFormat="false" ht="15" hidden="false" customHeight="false" outlineLevel="0" collapsed="false">
      <c r="A48" s="15" t="s">
        <v>84</v>
      </c>
      <c r="B48" s="15" t="s">
        <v>22</v>
      </c>
      <c r="C48" s="16" t="n">
        <v>137.5008</v>
      </c>
      <c r="D48" s="17" t="n">
        <v>3530.8</v>
      </c>
      <c r="E48" s="17" t="n">
        <f aca="false">C48*D48</f>
        <v>485487.82464</v>
      </c>
      <c r="F48" s="18" t="n">
        <f aca="false">E48/$B$2</f>
        <v>313.217951380645</v>
      </c>
      <c r="G48" s="15" t="s">
        <v>20</v>
      </c>
      <c r="H48" s="20" t="s">
        <v>85</v>
      </c>
    </row>
    <row r="49" customFormat="false" ht="15" hidden="false" customHeight="false" outlineLevel="0" collapsed="false">
      <c r="A49" s="15" t="s">
        <v>86</v>
      </c>
      <c r="B49" s="15" t="s">
        <v>22</v>
      </c>
      <c r="C49" s="15" t="n">
        <v>68</v>
      </c>
      <c r="D49" s="17" t="n">
        <v>3530.8</v>
      </c>
      <c r="E49" s="17" t="n">
        <f aca="false">C49*D49</f>
        <v>240094.4</v>
      </c>
      <c r="F49" s="18" t="n">
        <f aca="false">E49/$B$2</f>
        <v>154.899612903226</v>
      </c>
      <c r="G49" s="15" t="s">
        <v>20</v>
      </c>
      <c r="H49" s="20"/>
    </row>
    <row r="50" customFormat="false" ht="15" hidden="false" customHeight="false" outlineLevel="0" collapsed="false">
      <c r="A50" s="10" t="s">
        <v>87</v>
      </c>
      <c r="B50" s="11"/>
      <c r="C50" s="11"/>
      <c r="D50" s="12"/>
      <c r="E50" s="12"/>
      <c r="F50" s="13"/>
      <c r="G50" s="11"/>
      <c r="H50" s="14"/>
    </row>
    <row r="51" customFormat="false" ht="15" hidden="false" customHeight="false" outlineLevel="0" collapsed="false">
      <c r="A51" s="15" t="s">
        <v>88</v>
      </c>
      <c r="B51" s="15" t="s">
        <v>36</v>
      </c>
      <c r="C51" s="15" t="n">
        <v>1</v>
      </c>
      <c r="D51" s="17" t="n">
        <v>300000</v>
      </c>
      <c r="E51" s="17" t="n">
        <f aca="false">C51*D51</f>
        <v>300000</v>
      </c>
      <c r="F51" s="18" t="n">
        <f aca="false">E51/$B$2</f>
        <v>193.548387096774</v>
      </c>
      <c r="G51" s="15" t="s">
        <v>20</v>
      </c>
      <c r="H51" s="20"/>
    </row>
    <row r="52" customFormat="false" ht="15" hidden="false" customHeight="false" outlineLevel="0" collapsed="false">
      <c r="A52" s="15" t="s">
        <v>89</v>
      </c>
      <c r="B52" s="15" t="s">
        <v>43</v>
      </c>
      <c r="C52" s="15" t="n">
        <v>4</v>
      </c>
      <c r="D52" s="17" t="n">
        <v>950000</v>
      </c>
      <c r="E52" s="17" t="n">
        <f aca="false">C52*D52</f>
        <v>3800000</v>
      </c>
      <c r="F52" s="18" t="n">
        <f aca="false">E52/$B$2</f>
        <v>2451.61290322581</v>
      </c>
      <c r="G52" s="22" t="s">
        <v>61</v>
      </c>
      <c r="H52" s="20" t="s">
        <v>90</v>
      </c>
    </row>
    <row r="53" customFormat="false" ht="15" hidden="false" customHeight="false" outlineLevel="0" collapsed="false">
      <c r="A53" s="15" t="s">
        <v>91</v>
      </c>
      <c r="B53" s="15" t="s">
        <v>36</v>
      </c>
      <c r="C53" s="15" t="n">
        <v>1</v>
      </c>
      <c r="D53" s="17" t="n">
        <v>526315.789473684</v>
      </c>
      <c r="E53" s="17" t="n">
        <f aca="false">C53*D53</f>
        <v>526315.789473684</v>
      </c>
      <c r="F53" s="18" t="n">
        <f aca="false">E53/$B$2</f>
        <v>339.55857385399</v>
      </c>
      <c r="G53" s="19" t="s">
        <v>16</v>
      </c>
      <c r="H53" s="20" t="s">
        <v>92</v>
      </c>
    </row>
    <row r="54" customFormat="false" ht="15" hidden="false" customHeight="false" outlineLevel="0" collapsed="false">
      <c r="A54" s="15" t="s">
        <v>93</v>
      </c>
      <c r="B54" s="15" t="s">
        <v>22</v>
      </c>
      <c r="C54" s="16" t="n">
        <v>2.4</v>
      </c>
      <c r="D54" s="17" t="n">
        <v>290000</v>
      </c>
      <c r="E54" s="17" t="n">
        <f aca="false">C54*D54</f>
        <v>696000</v>
      </c>
      <c r="F54" s="18" t="n">
        <f aca="false">E54/$B$2</f>
        <v>449.032258064516</v>
      </c>
      <c r="G54" s="21" t="s">
        <v>23</v>
      </c>
      <c r="H54" s="20" t="s">
        <v>94</v>
      </c>
    </row>
    <row r="55" customFormat="false" ht="15" hidden="false" customHeight="false" outlineLevel="0" collapsed="false">
      <c r="A55" s="10" t="s">
        <v>95</v>
      </c>
      <c r="B55" s="11"/>
      <c r="C55" s="11"/>
      <c r="D55" s="12"/>
      <c r="E55" s="12"/>
      <c r="F55" s="13"/>
      <c r="G55" s="11"/>
      <c r="H55" s="14"/>
    </row>
    <row r="56" customFormat="false" ht="15" hidden="false" customHeight="false" outlineLevel="0" collapsed="false">
      <c r="A56" s="15" t="s">
        <v>96</v>
      </c>
      <c r="B56" s="15" t="s">
        <v>36</v>
      </c>
      <c r="C56" s="15" t="n">
        <v>1</v>
      </c>
      <c r="D56" s="17" t="n">
        <f aca="false">250*$B$2</f>
        <v>387500</v>
      </c>
      <c r="E56" s="17" t="n">
        <f aca="false">C56*D56</f>
        <v>387500</v>
      </c>
      <c r="F56" s="18" t="n">
        <f aca="false">E56/$B$2</f>
        <v>250</v>
      </c>
      <c r="G56" s="23" t="s">
        <v>97</v>
      </c>
      <c r="H56" s="20" t="s">
        <v>98</v>
      </c>
    </row>
    <row r="57" customFormat="false" ht="15" hidden="false" customHeight="false" outlineLevel="0" collapsed="false">
      <c r="A57" s="15" t="s">
        <v>99</v>
      </c>
      <c r="B57" s="15" t="s">
        <v>36</v>
      </c>
      <c r="C57" s="15" t="n">
        <v>1</v>
      </c>
      <c r="D57" s="17" t="n">
        <f aca="false">450*$B$2</f>
        <v>697500</v>
      </c>
      <c r="E57" s="17" t="n">
        <f aca="false">C57*D57</f>
        <v>697500</v>
      </c>
      <c r="F57" s="18" t="n">
        <f aca="false">E57/$B$2</f>
        <v>450</v>
      </c>
      <c r="G57" s="23" t="s">
        <v>97</v>
      </c>
      <c r="H57" s="20" t="s">
        <v>100</v>
      </c>
    </row>
    <row r="58" customFormat="false" ht="15" hidden="false" customHeight="false" outlineLevel="0" collapsed="false">
      <c r="A58" s="15" t="s">
        <v>101</v>
      </c>
      <c r="B58" s="15" t="s">
        <v>36</v>
      </c>
      <c r="C58" s="15" t="n">
        <v>1</v>
      </c>
      <c r="D58" s="17" t="n">
        <f aca="false">450*$B$2</f>
        <v>697500</v>
      </c>
      <c r="E58" s="17" t="n">
        <f aca="false">C58*D58</f>
        <v>697500</v>
      </c>
      <c r="F58" s="18" t="n">
        <f aca="false">E58/$B$2</f>
        <v>450</v>
      </c>
      <c r="G58" s="23" t="s">
        <v>97</v>
      </c>
      <c r="H58" s="20" t="s">
        <v>100</v>
      </c>
    </row>
    <row r="59" customFormat="false" ht="15" hidden="false" customHeight="false" outlineLevel="0" collapsed="false">
      <c r="A59" s="15" t="s">
        <v>102</v>
      </c>
      <c r="B59" s="15" t="s">
        <v>36</v>
      </c>
      <c r="C59" s="15" t="n">
        <v>1</v>
      </c>
      <c r="D59" s="17" t="n">
        <f aca="false">500*$B$2</f>
        <v>775000</v>
      </c>
      <c r="E59" s="17" t="n">
        <f aca="false">C59*D59</f>
        <v>775000</v>
      </c>
      <c r="F59" s="18" t="n">
        <f aca="false">E59/$B$2</f>
        <v>500</v>
      </c>
      <c r="G59" s="23" t="s">
        <v>97</v>
      </c>
      <c r="H59" s="20" t="s">
        <v>103</v>
      </c>
    </row>
    <row r="60" customFormat="false" ht="15" hidden="false" customHeight="false" outlineLevel="0" collapsed="false">
      <c r="A60" s="15"/>
      <c r="B60" s="15"/>
      <c r="C60" s="15"/>
      <c r="D60" s="17"/>
      <c r="E60" s="17"/>
      <c r="F60" s="18"/>
      <c r="G60" s="15"/>
      <c r="H60" s="20"/>
    </row>
    <row r="61" customFormat="false" ht="15" hidden="false" customHeight="false" outlineLevel="0" collapsed="false">
      <c r="A61" s="24" t="s">
        <v>104</v>
      </c>
      <c r="B61" s="15"/>
      <c r="C61" s="15"/>
      <c r="D61" s="17"/>
      <c r="E61" s="17" t="n">
        <f aca="false">SUM(E6:E59)</f>
        <v>67569385.1699428</v>
      </c>
      <c r="F61" s="18" t="n">
        <f aca="false">E61/$B$2</f>
        <v>43593.1517225437</v>
      </c>
      <c r="G61" s="15"/>
      <c r="H61" s="20"/>
    </row>
    <row r="62" customFormat="false" ht="15" hidden="false" customHeight="false" outlineLevel="0" collapsed="false">
      <c r="A62" s="15"/>
      <c r="B62" s="15"/>
      <c r="C62" s="15"/>
      <c r="D62" s="17"/>
      <c r="E62" s="17"/>
      <c r="F62" s="18"/>
      <c r="G62" s="15"/>
      <c r="H62" s="20"/>
    </row>
    <row r="63" customFormat="false" ht="15" hidden="false" customHeight="false" outlineLevel="0" collapsed="false">
      <c r="A63" s="10" t="s">
        <v>105</v>
      </c>
      <c r="B63" s="11"/>
      <c r="C63" s="11"/>
      <c r="D63" s="12"/>
      <c r="E63" s="12"/>
      <c r="F63" s="13"/>
      <c r="G63" s="11"/>
      <c r="H63" s="14"/>
    </row>
    <row r="64" customFormat="false" ht="15" hidden="false" customHeight="false" outlineLevel="0" collapsed="false">
      <c r="A64" s="15" t="s">
        <v>106</v>
      </c>
      <c r="B64" s="15" t="s">
        <v>22</v>
      </c>
      <c r="C64" s="15" t="n">
        <f aca="false">$D$2</f>
        <v>73</v>
      </c>
      <c r="D64" s="25" t="n">
        <f aca="false">204*$B$2</f>
        <v>316200</v>
      </c>
      <c r="E64" s="17" t="n">
        <f aca="false">C64*D64</f>
        <v>23082600</v>
      </c>
      <c r="F64" s="18" t="n">
        <f aca="false">E64/$B$2</f>
        <v>14892</v>
      </c>
      <c r="G64" s="15" t="s">
        <v>20</v>
      </c>
      <c r="H64" s="20" t="s">
        <v>107</v>
      </c>
    </row>
    <row r="65" customFormat="false" ht="15" hidden="false" customHeight="false" outlineLevel="0" collapsed="false">
      <c r="A65" s="15" t="s">
        <v>108</v>
      </c>
      <c r="B65" s="15" t="s">
        <v>22</v>
      </c>
      <c r="C65" s="15" t="n">
        <f aca="false">$D$2</f>
        <v>73</v>
      </c>
      <c r="D65" s="25" t="n">
        <f aca="false">136*$B$2</f>
        <v>210800</v>
      </c>
      <c r="E65" s="17" t="n">
        <f aca="false">C65*D65</f>
        <v>15388400</v>
      </c>
      <c r="F65" s="18" t="n">
        <f aca="false">E65/$B$2</f>
        <v>9928</v>
      </c>
      <c r="G65" s="15" t="s">
        <v>20</v>
      </c>
      <c r="H65" s="20" t="s">
        <v>109</v>
      </c>
    </row>
    <row r="66" customFormat="false" ht="15" hidden="false" customHeight="false" outlineLevel="0" collapsed="false">
      <c r="A66" s="15"/>
      <c r="B66" s="15"/>
      <c r="C66" s="15"/>
      <c r="D66" s="17"/>
      <c r="E66" s="17"/>
      <c r="F66" s="18"/>
      <c r="G66" s="15"/>
      <c r="H66" s="20"/>
    </row>
    <row r="67" customFormat="false" ht="15" hidden="false" customHeight="false" outlineLevel="0" collapsed="false">
      <c r="A67" s="24" t="s">
        <v>110</v>
      </c>
      <c r="B67" s="15"/>
      <c r="C67" s="15"/>
      <c r="D67" s="17"/>
      <c r="E67" s="17" t="n">
        <f aca="false">SUM(E64:E65)</f>
        <v>38471000</v>
      </c>
      <c r="F67" s="18" t="n">
        <f aca="false">E67/$B$2</f>
        <v>24820</v>
      </c>
      <c r="G67" s="15"/>
      <c r="H67" s="20"/>
    </row>
    <row r="68" customFormat="false" ht="15" hidden="false" customHeight="false" outlineLevel="0" collapsed="false">
      <c r="A68" s="15"/>
      <c r="B68" s="15"/>
      <c r="C68" s="15"/>
      <c r="D68" s="17"/>
      <c r="E68" s="17"/>
      <c r="F68" s="18"/>
      <c r="G68" s="15"/>
      <c r="H68" s="20"/>
    </row>
    <row r="69" customFormat="false" ht="15" hidden="false" customHeight="false" outlineLevel="0" collapsed="false">
      <c r="A69" s="26" t="s">
        <v>111</v>
      </c>
      <c r="B69" s="15"/>
      <c r="C69" s="15"/>
      <c r="D69" s="17"/>
      <c r="E69" s="17" t="n">
        <f aca="false">E61+E67</f>
        <v>106040385.169943</v>
      </c>
      <c r="F69" s="18" t="n">
        <f aca="false">E69/$B$2</f>
        <v>68413.1517225437</v>
      </c>
      <c r="G69" s="15"/>
      <c r="H69" s="20"/>
    </row>
    <row r="70" customFormat="false" ht="15" hidden="false" customHeight="false" outlineLevel="0" collapsed="false">
      <c r="A70" s="24" t="s">
        <v>112</v>
      </c>
      <c r="B70" s="15"/>
      <c r="C70" s="15"/>
      <c r="D70" s="17"/>
      <c r="E70" s="17"/>
      <c r="F70" s="18" t="n">
        <f aca="false">F69/$D$2</f>
        <v>937.166461952654</v>
      </c>
      <c r="G70" s="15"/>
      <c r="H70" s="20"/>
    </row>
    <row r="71" customFormat="false" ht="15" hidden="false" customHeight="false" outlineLevel="0" collapsed="false">
      <c r="A71" s="15"/>
      <c r="B71" s="15"/>
      <c r="C71" s="15"/>
      <c r="D71" s="17"/>
      <c r="E71" s="17"/>
      <c r="F71" s="18"/>
      <c r="G71" s="15"/>
      <c r="H71" s="20"/>
    </row>
    <row r="72" customFormat="false" ht="15" hidden="false" customHeight="false" outlineLevel="0" collapsed="false">
      <c r="A72" s="26" t="s">
        <v>113</v>
      </c>
      <c r="B72" s="15"/>
      <c r="C72" s="15"/>
      <c r="D72" s="17"/>
      <c r="E72" s="17"/>
      <c r="F72" s="18"/>
      <c r="G72" s="15"/>
      <c r="H72" s="20"/>
    </row>
    <row r="73" customFormat="false" ht="15" hidden="false" customHeight="false" outlineLevel="0" collapsed="false">
      <c r="A73" s="15" t="s">
        <v>114</v>
      </c>
      <c r="B73" s="27" t="n">
        <v>1.5</v>
      </c>
      <c r="C73" s="15"/>
      <c r="D73" s="15"/>
      <c r="E73" s="17"/>
      <c r="F73" s="15"/>
      <c r="G73" s="15"/>
      <c r="H73" s="20"/>
    </row>
    <row r="74" customFormat="false" ht="15" hidden="false" customHeight="false" outlineLevel="0" collapsed="false">
      <c r="A74" s="15" t="s">
        <v>115</v>
      </c>
      <c r="B74" s="18" t="n">
        <f aca="false">F67*(B73-1)</f>
        <v>12410</v>
      </c>
      <c r="C74" s="15"/>
      <c r="D74" s="15"/>
      <c r="E74" s="17"/>
      <c r="F74" s="15"/>
      <c r="G74" s="15"/>
      <c r="H74" s="20"/>
    </row>
    <row r="75" customFormat="false" ht="15" hidden="false" customHeight="false" outlineLevel="0" collapsed="false">
      <c r="A75" s="15" t="s">
        <v>116</v>
      </c>
      <c r="B75" s="28" t="n">
        <v>0.01</v>
      </c>
      <c r="C75" s="15"/>
      <c r="D75" s="15"/>
      <c r="E75" s="17"/>
      <c r="F75" s="15"/>
      <c r="G75" s="15"/>
      <c r="H75" s="20"/>
    </row>
    <row r="76" customFormat="false" ht="15" hidden="false" customHeight="false" outlineLevel="0" collapsed="false">
      <c r="A76" s="15" t="s">
        <v>117</v>
      </c>
      <c r="B76" s="28" t="n">
        <v>0.025</v>
      </c>
      <c r="C76" s="15"/>
      <c r="D76" s="15"/>
      <c r="E76" s="17"/>
      <c r="F76" s="15"/>
      <c r="G76" s="15"/>
      <c r="H76" s="20"/>
    </row>
    <row r="77" customFormat="false" ht="15" hidden="false" customHeight="false" outlineLevel="0" collapsed="false">
      <c r="A77" s="15" t="s">
        <v>118</v>
      </c>
      <c r="B77" s="19" t="s">
        <v>119</v>
      </c>
      <c r="C77" s="15"/>
      <c r="D77" s="15"/>
      <c r="E77" s="17"/>
      <c r="F77" s="15"/>
      <c r="G77" s="15"/>
      <c r="H77" s="20"/>
    </row>
    <row r="78" customFormat="false" ht="15" hidden="false" customHeight="false" outlineLevel="0" collapsed="false">
      <c r="A78" s="24" t="s">
        <v>120</v>
      </c>
      <c r="B78" s="29" t="n">
        <f aca="false">IF(B77="Sí",(F69+B74)/(1-B75-B76),F69+B74)</f>
        <v>83754.5613705117</v>
      </c>
      <c r="C78" s="15"/>
      <c r="D78" s="15"/>
      <c r="E78" s="17"/>
      <c r="F78" s="15"/>
      <c r="G78" s="15"/>
      <c r="H78" s="20"/>
    </row>
    <row r="79" customFormat="false" ht="15" hidden="false" customHeight="false" outlineLevel="0" collapsed="false">
      <c r="A79" s="15" t="s">
        <v>121</v>
      </c>
      <c r="B79" s="18" t="n">
        <f aca="false">B78/$D$2</f>
        <v>1147.32275850016</v>
      </c>
      <c r="C79" s="15"/>
      <c r="D79" s="15"/>
      <c r="E79" s="17"/>
      <c r="F79" s="15"/>
      <c r="G79" s="15"/>
      <c r="H79" s="20"/>
    </row>
    <row r="80" customFormat="false" ht="15" hidden="false" customHeight="false" outlineLevel="0" collapsed="false">
      <c r="A80" s="15" t="s">
        <v>122</v>
      </c>
      <c r="B80" s="18" t="n">
        <f aca="false">B78*(B75+B76)</f>
        <v>2931.40964796791</v>
      </c>
      <c r="C80" s="15"/>
      <c r="D80" s="15"/>
      <c r="E80" s="17"/>
      <c r="F80" s="15"/>
      <c r="G80" s="15"/>
      <c r="H80" s="20"/>
    </row>
    <row r="81" customFormat="false" ht="15" hidden="false" customHeight="false" outlineLevel="0" collapsed="false">
      <c r="A81" s="24" t="s">
        <v>123</v>
      </c>
      <c r="B81" s="29" t="n">
        <f aca="false">B78-F69-B80</f>
        <v>12410</v>
      </c>
      <c r="C81" s="15"/>
      <c r="D81" s="15"/>
      <c r="E81" s="17"/>
      <c r="F81" s="15"/>
      <c r="G81" s="15"/>
      <c r="H81" s="20"/>
    </row>
    <row r="82" customFormat="false" ht="15" hidden="false" customHeight="false" outlineLevel="0" collapsed="false">
      <c r="A82" s="15" t="s">
        <v>124</v>
      </c>
      <c r="B82" s="30" t="n">
        <f aca="false">1200*$D$2</f>
        <v>87600</v>
      </c>
      <c r="C82" s="15"/>
      <c r="D82" s="15"/>
      <c r="E82" s="17"/>
      <c r="F82" s="15"/>
      <c r="G82" s="15"/>
      <c r="H82" s="20"/>
    </row>
    <row r="83" customFormat="false" ht="15" hidden="false" customHeight="false" outlineLevel="0" collapsed="false">
      <c r="A83" s="15" t="s">
        <v>125</v>
      </c>
      <c r="B83" s="18" t="n">
        <f aca="false">B82*(1-B75-B76)-F69</f>
        <v>16120.8482774563</v>
      </c>
      <c r="C83" s="15"/>
      <c r="D83" s="15"/>
      <c r="E83" s="17"/>
      <c r="F83" s="15"/>
      <c r="G83" s="15"/>
      <c r="H83" s="20"/>
    </row>
    <row r="85" customFormat="false" ht="15" hidden="false" customHeight="false" outlineLevel="0" collapsed="false">
      <c r="A85" s="5" t="s">
        <v>126</v>
      </c>
    </row>
  </sheetData>
  <dataValidations count="1">
    <dataValidation allowBlank="false" errorStyle="stop" operator="between" showDropDown="false" showErrorMessage="false" showInputMessage="false" sqref="B77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31" t="s">
        <v>127</v>
      </c>
    </row>
    <row r="3" customFormat="false" ht="15" hidden="false" customHeight="false" outlineLevel="0" collapsed="false">
      <c r="A3" s="32" t="s">
        <v>128</v>
      </c>
      <c r="B3" s="32" t="s">
        <v>129</v>
      </c>
      <c r="C3" s="32" t="s">
        <v>130</v>
      </c>
      <c r="D3" s="32" t="s">
        <v>131</v>
      </c>
      <c r="E3" s="32" t="s">
        <v>132</v>
      </c>
    </row>
    <row r="4" customFormat="false" ht="55.2" hidden="false" customHeight="false" outlineLevel="0" collapsed="false">
      <c r="A4" s="15" t="n">
        <v>1</v>
      </c>
      <c r="B4" s="20" t="s">
        <v>133</v>
      </c>
      <c r="C4" s="20" t="s">
        <v>134</v>
      </c>
      <c r="D4" s="20" t="s">
        <v>135</v>
      </c>
      <c r="E4" s="20" t="s">
        <v>136</v>
      </c>
    </row>
    <row r="5" customFormat="false" ht="15" hidden="false" customHeight="false" outlineLevel="0" collapsed="false">
      <c r="A5" s="15" t="n">
        <v>2</v>
      </c>
      <c r="B5" s="20" t="s">
        <v>137</v>
      </c>
      <c r="C5" s="20" t="s">
        <v>138</v>
      </c>
      <c r="D5" s="20" t="s">
        <v>139</v>
      </c>
      <c r="E5" s="20" t="s">
        <v>140</v>
      </c>
    </row>
    <row r="6" customFormat="false" ht="15" hidden="false" customHeight="false" outlineLevel="0" collapsed="false">
      <c r="A6" s="15" t="n">
        <v>3</v>
      </c>
      <c r="B6" s="20" t="s">
        <v>137</v>
      </c>
      <c r="C6" s="20" t="s">
        <v>141</v>
      </c>
      <c r="D6" s="20" t="s">
        <v>142</v>
      </c>
      <c r="E6" s="20" t="s">
        <v>143</v>
      </c>
    </row>
    <row r="7" customFormat="false" ht="15" hidden="false" customHeight="false" outlineLevel="0" collapsed="false">
      <c r="A7" s="15" t="n">
        <v>4</v>
      </c>
      <c r="B7" s="20" t="s">
        <v>137</v>
      </c>
      <c r="C7" s="20" t="s">
        <v>144</v>
      </c>
      <c r="D7" s="20" t="s">
        <v>145</v>
      </c>
      <c r="E7" s="20" t="s">
        <v>146</v>
      </c>
    </row>
    <row r="8" customFormat="false" ht="15" hidden="false" customHeight="false" outlineLevel="0" collapsed="false">
      <c r="A8" s="15" t="n">
        <v>5</v>
      </c>
      <c r="B8" s="20" t="s">
        <v>147</v>
      </c>
      <c r="C8" s="20" t="s">
        <v>148</v>
      </c>
      <c r="D8" s="20" t="s">
        <v>149</v>
      </c>
      <c r="E8" s="20" t="s">
        <v>150</v>
      </c>
    </row>
    <row r="9" customFormat="false" ht="15" hidden="false" customHeight="false" outlineLevel="0" collapsed="false">
      <c r="A9" s="15" t="n">
        <v>6</v>
      </c>
      <c r="B9" s="20" t="s">
        <v>133</v>
      </c>
      <c r="C9" s="20" t="s">
        <v>151</v>
      </c>
      <c r="D9" s="20" t="s">
        <v>152</v>
      </c>
      <c r="E9" s="20" t="s">
        <v>136</v>
      </c>
    </row>
    <row r="10" customFormat="false" ht="28.35" hidden="false" customHeight="false" outlineLevel="0" collapsed="false">
      <c r="A10" s="15" t="n">
        <v>7</v>
      </c>
      <c r="B10" s="20" t="s">
        <v>23</v>
      </c>
      <c r="C10" s="20" t="s">
        <v>153</v>
      </c>
      <c r="D10" s="20" t="s">
        <v>154</v>
      </c>
      <c r="E10" s="20" t="s">
        <v>155</v>
      </c>
    </row>
    <row r="11" customFormat="false" ht="15" hidden="false" customHeight="false" outlineLevel="0" collapsed="false">
      <c r="A11" s="15" t="n">
        <v>8</v>
      </c>
      <c r="B11" s="20" t="s">
        <v>16</v>
      </c>
      <c r="C11" s="20" t="s">
        <v>156</v>
      </c>
      <c r="D11" s="20" t="s">
        <v>157</v>
      </c>
      <c r="E11" s="20" t="s">
        <v>158</v>
      </c>
    </row>
    <row r="12" customFormat="false" ht="15" hidden="false" customHeight="false" outlineLevel="0" collapsed="false">
      <c r="A12" s="15" t="n">
        <v>9</v>
      </c>
      <c r="B12" s="20" t="s">
        <v>16</v>
      </c>
      <c r="C12" s="20" t="s">
        <v>159</v>
      </c>
      <c r="D12" s="20" t="s">
        <v>160</v>
      </c>
      <c r="E12" s="20" t="s">
        <v>161</v>
      </c>
    </row>
    <row r="13" customFormat="false" ht="15" hidden="false" customHeight="false" outlineLevel="0" collapsed="false">
      <c r="A13" s="15" t="n">
        <v>10</v>
      </c>
      <c r="B13" s="20" t="s">
        <v>16</v>
      </c>
      <c r="C13" s="20" t="s">
        <v>162</v>
      </c>
      <c r="D13" s="20" t="s">
        <v>163</v>
      </c>
      <c r="E13" s="20" t="s">
        <v>164</v>
      </c>
    </row>
    <row r="14" customFormat="false" ht="15" hidden="false" customHeight="false" outlineLevel="0" collapsed="false">
      <c r="A14" s="15" t="n">
        <v>11</v>
      </c>
      <c r="B14" s="20" t="s">
        <v>16</v>
      </c>
      <c r="C14" s="20" t="s">
        <v>165</v>
      </c>
      <c r="D14" s="20" t="s">
        <v>166</v>
      </c>
      <c r="E14" s="20" t="s">
        <v>167</v>
      </c>
    </row>
    <row r="15" customFormat="false" ht="15" hidden="false" customHeight="false" outlineLevel="0" collapsed="false">
      <c r="A15" s="15" t="n">
        <v>12</v>
      </c>
      <c r="B15" s="20" t="s">
        <v>16</v>
      </c>
      <c r="C15" s="20" t="s">
        <v>168</v>
      </c>
      <c r="D15" s="20" t="s">
        <v>169</v>
      </c>
      <c r="E15" s="20" t="s">
        <v>167</v>
      </c>
    </row>
    <row r="16" customFormat="false" ht="28.35" hidden="false" customHeight="false" outlineLevel="0" collapsed="false">
      <c r="A16" s="15" t="n">
        <v>13</v>
      </c>
      <c r="B16" s="20" t="s">
        <v>61</v>
      </c>
      <c r="C16" s="20" t="s">
        <v>170</v>
      </c>
      <c r="D16" s="20" t="s">
        <v>171</v>
      </c>
      <c r="E16" s="20" t="s">
        <v>172</v>
      </c>
    </row>
    <row r="17" customFormat="false" ht="28.35" hidden="false" customHeight="false" outlineLevel="0" collapsed="false">
      <c r="A17" s="15" t="n">
        <v>14</v>
      </c>
      <c r="B17" s="20" t="s">
        <v>173</v>
      </c>
      <c r="C17" s="20" t="s">
        <v>174</v>
      </c>
      <c r="D17" s="20" t="s">
        <v>175</v>
      </c>
      <c r="E17" s="20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2026-10-04T16:08:00Z</dcterms:created>
  <dc:creator>openpyxl</dc:creator>
  <dc:description/>
  <dc:language>en-US</dc:language>
  <cp:lastModifiedBy/>
  <dcterms:modified xsi:type="dcterms:W3CDTF">2026-10-20T19:44:49Z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