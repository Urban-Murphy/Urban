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 de v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D 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7F7F7F"/>
    </font>
    <font>
      <b val="1"/>
      <color rgb="00FFFFFF"/>
    </font>
    <font>
      <i val="1"/>
      <color rgb="009C000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2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" fontId="0" fillId="2" borderId="1" pivotButton="0" quotePrefix="0" xfId="0"/>
    <xf numFmtId="164" fontId="0" fillId="2" borderId="1" pivotButton="0" quotePrefix="0" xfId="0"/>
    <xf numFmtId="2" fontId="0" fillId="2" borderId="1" pivotButton="0" quotePrefix="0" xfId="0"/>
    <xf numFmtId="0" fontId="3" fillId="0" borderId="1" pivotButton="0" quotePrefix="0" xfId="0"/>
    <xf numFmtId="165" fontId="0" fillId="2" borderId="1" pivotButton="0" quotePrefix="0" xfId="0"/>
    <xf numFmtId="0" fontId="0" fillId="2" borderId="1" pivotButton="0" quotePrefix="0" xfId="0"/>
    <xf numFmtId="0" fontId="2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164" fontId="2" fillId="4" borderId="1" pivotButton="0" quotePrefix="0" xfId="0"/>
    <xf numFmtId="165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AURA ESENCIAL · Precio de venta con comisiones</t>
        </is>
      </c>
    </row>
    <row r="2">
      <c r="A2" t="inlineStr">
        <is>
          <t>Amarillo: lo que podés cambiar. El resto se calcula solo. Costos de 'Aura_Revision_Costo_30-09-26.xlsx' (dólar $1.550).</t>
        </is>
      </c>
    </row>
    <row r="4">
      <c r="A4" s="2" t="inlineStr">
        <is>
          <t>DATOS</t>
        </is>
      </c>
    </row>
    <row r="5">
      <c r="A5" s="3" t="inlineStr">
        <is>
          <t>Superficie cubierta (m²)</t>
        </is>
      </c>
      <c r="B5" s="4" t="n">
        <v>73</v>
      </c>
    </row>
    <row r="6">
      <c r="A6" s="3" t="inlineStr">
        <is>
          <t>Materiales corregidos (USD)</t>
        </is>
      </c>
      <c r="B6" s="5" t="n">
        <v>45123.8</v>
      </c>
    </row>
    <row r="7">
      <c r="A7" s="3" t="inlineStr">
        <is>
          <t>Faltantes de la ficha, estimado (USD)</t>
        </is>
      </c>
      <c r="B7" s="5" t="n">
        <v>1650</v>
      </c>
    </row>
    <row r="8">
      <c r="A8" s="3" t="inlineStr">
        <is>
          <t>Costo mano de obra (u$s/m²)</t>
        </is>
      </c>
      <c r="B8" s="6" t="n">
        <v>263.83</v>
      </c>
      <c r="C8" s="7" t="inlineStr">
        <is>
          <t>Planilla de mano de obra: 263,83. El Excel de costos usa 340 como referencia.</t>
        </is>
      </c>
    </row>
    <row r="9">
      <c r="A9" s="3" t="inlineStr">
        <is>
          <t>Margen: multiplicador sobre la mano de obra</t>
        </is>
      </c>
      <c r="B9" s="6" t="n">
        <v>1.5</v>
      </c>
    </row>
    <row r="10">
      <c r="A10" s="3" t="inlineStr">
        <is>
          <t>Comisión José Luis</t>
        </is>
      </c>
      <c r="B10" s="8" t="n">
        <v>0.01</v>
      </c>
    </row>
    <row r="11">
      <c r="A11" s="3" t="inlineStr">
        <is>
          <t>¿Las comisiones se suman al precio? (Sí/No)</t>
        </is>
      </c>
      <c r="B11" s="9" t="inlineStr">
        <is>
          <t>Sí</t>
        </is>
      </c>
      <c r="C11" s="7" t="inlineStr">
        <is>
          <t>Sí: el cliente paga las comisiones. No: salen de la ganancia.</t>
        </is>
      </c>
    </row>
    <row r="12">
      <c r="A12" s="3" t="inlineStr">
        <is>
          <t>Precio de la ficha (u$s/m²)</t>
        </is>
      </c>
      <c r="B12" s="5" t="n">
        <v>1200</v>
      </c>
    </row>
    <row r="14">
      <c r="A14" s="10" t="inlineStr">
        <is>
          <t>RESULTADO SEGÚN QUIÉN VENDE</t>
        </is>
      </c>
    </row>
    <row r="15">
      <c r="A15" s="11" t="inlineStr">
        <is>
          <t>Concepto</t>
        </is>
      </c>
      <c r="B15" s="11" t="inlineStr">
        <is>
          <t>Vendedor 2%</t>
        </is>
      </c>
      <c r="C15" s="11" t="inlineStr">
        <is>
          <t>Vendedor 2,5%</t>
        </is>
      </c>
      <c r="D15" s="11" t="inlineStr">
        <is>
          <t>Vendedor 3%</t>
        </is>
      </c>
    </row>
    <row r="16">
      <c r="A16" s="3" t="inlineStr">
        <is>
          <t>Comisión del vendedor</t>
        </is>
      </c>
      <c r="B16" s="8" t="n">
        <v>0.02</v>
      </c>
      <c r="C16" s="8" t="n">
        <v>0.025</v>
      </c>
      <c r="D16" s="8" t="n">
        <v>0.03</v>
      </c>
    </row>
    <row r="17">
      <c r="A17" s="3" t="inlineStr">
        <is>
          <t>Materiales + faltantes</t>
        </is>
      </c>
      <c r="B17" s="12">
        <f>$B$6+$B$7</f>
        <v/>
      </c>
      <c r="C17" s="12">
        <f>$B$6+$B$7</f>
        <v/>
      </c>
      <c r="D17" s="12">
        <f>$B$6+$B$7</f>
        <v/>
      </c>
    </row>
    <row r="18">
      <c r="A18" s="3" t="inlineStr">
        <is>
          <t>Mano de obra (costo)</t>
        </is>
      </c>
      <c r="B18" s="12">
        <f>$B$8*$B$5</f>
        <v/>
      </c>
      <c r="C18" s="12">
        <f>$B$8*$B$5</f>
        <v/>
      </c>
      <c r="D18" s="12">
        <f>$B$8*$B$5</f>
        <v/>
      </c>
    </row>
    <row r="19">
      <c r="A19" s="10" t="inlineStr">
        <is>
          <t>COSTO DIRECTO</t>
        </is>
      </c>
      <c r="B19" s="13">
        <f>B17+B18</f>
        <v/>
      </c>
      <c r="C19" s="13">
        <f>C17+C18</f>
        <v/>
      </c>
      <c r="D19" s="13">
        <f>D17+D18</f>
        <v/>
      </c>
    </row>
    <row r="20">
      <c r="A20" s="3" t="inlineStr">
        <is>
          <t>Margen (mano de obra × (multiplicador − 1))</t>
        </is>
      </c>
      <c r="B20" s="12">
        <f>B18*($B$9-1)</f>
        <v/>
      </c>
      <c r="C20" s="12">
        <f>C18*($B$9-1)</f>
        <v/>
      </c>
      <c r="D20" s="12">
        <f>D18*($B$9-1)</f>
        <v/>
      </c>
    </row>
    <row r="21">
      <c r="A21" s="3" t="inlineStr">
        <is>
          <t>Precio sin comisiones</t>
        </is>
      </c>
      <c r="B21" s="12">
        <f>B19+B20</f>
        <v/>
      </c>
      <c r="C21" s="12">
        <f>C19+C20</f>
        <v/>
      </c>
      <c r="D21" s="12">
        <f>D19+D20</f>
        <v/>
      </c>
    </row>
    <row r="22">
      <c r="A22" s="3" t="inlineStr">
        <is>
          <t>Comisiones totales (%)</t>
        </is>
      </c>
      <c r="B22" s="14">
        <f>$B$10+B16</f>
        <v/>
      </c>
      <c r="C22" s="14">
        <f>$B$10+C16</f>
        <v/>
      </c>
      <c r="D22" s="14">
        <f>$B$10+D16</f>
        <v/>
      </c>
    </row>
    <row r="23">
      <c r="A23" s="10" t="inlineStr">
        <is>
          <t>PRECIO DE VENTA</t>
        </is>
      </c>
      <c r="B23" s="13">
        <f>IF($B$11="Sí",B21/(1-B22),B21)</f>
        <v/>
      </c>
      <c r="C23" s="13">
        <f>IF($B$11="Sí",C21/(1-C22),C21)</f>
        <v/>
      </c>
      <c r="D23" s="13">
        <f>IF($B$11="Sí",D21/(1-D22),D21)</f>
        <v/>
      </c>
    </row>
    <row r="24">
      <c r="A24" s="3" t="inlineStr">
        <is>
          <t>Precio por m²</t>
        </is>
      </c>
      <c r="B24" s="12">
        <f>B23/$B$5</f>
        <v/>
      </c>
      <c r="C24" s="12">
        <f>C23/$B$5</f>
        <v/>
      </c>
      <c r="D24" s="12">
        <f>D23/$B$5</f>
        <v/>
      </c>
    </row>
    <row r="25">
      <c r="A25" s="3" t="inlineStr">
        <is>
          <t>Comisión José Luis (USD)</t>
        </is>
      </c>
      <c r="B25" s="12">
        <f>B23*$B$10</f>
        <v/>
      </c>
      <c r="C25" s="12">
        <f>C23*$B$10</f>
        <v/>
      </c>
      <c r="D25" s="12">
        <f>D23*$B$10</f>
        <v/>
      </c>
    </row>
    <row r="26">
      <c r="A26" s="3" t="inlineStr">
        <is>
          <t>Comisión del vendedor (USD)</t>
        </is>
      </c>
      <c r="B26" s="12">
        <f>B23*B16</f>
        <v/>
      </c>
      <c r="C26" s="12">
        <f>C23*C16</f>
        <v/>
      </c>
      <c r="D26" s="12">
        <f>D23*D16</f>
        <v/>
      </c>
    </row>
    <row r="27">
      <c r="A27" s="3" t="inlineStr">
        <is>
          <t>GANANCIA NETA UrbanSIP</t>
        </is>
      </c>
      <c r="B27" s="12">
        <f>B23-B19-B25-B26</f>
        <v/>
      </c>
      <c r="C27" s="12">
        <f>C23-C19-C25-C26</f>
        <v/>
      </c>
      <c r="D27" s="12">
        <f>D23-D19-D25-D26</f>
        <v/>
      </c>
    </row>
    <row r="28">
      <c r="A28" s="3" t="inlineStr">
        <is>
          <t>Ganancia sobre precio</t>
        </is>
      </c>
      <c r="B28" s="14">
        <f>B27/B23</f>
        <v/>
      </c>
      <c r="C28" s="14">
        <f>C27/C23</f>
        <v/>
      </c>
      <c r="D28" s="14">
        <f>D27/D23</f>
        <v/>
      </c>
    </row>
    <row r="29">
      <c r="A29" s="3" t="inlineStr"/>
    </row>
    <row r="30">
      <c r="A30" s="10" t="inlineStr">
        <is>
          <t>SI SE VENDE AL PRECIO DE LA FICHA</t>
        </is>
      </c>
    </row>
    <row r="31">
      <c r="A31" s="3" t="inlineStr">
        <is>
          <t>Precio de la ficha</t>
        </is>
      </c>
      <c r="B31" s="12">
        <f>$B$12*$B$5</f>
        <v/>
      </c>
      <c r="C31" s="12">
        <f>$B$12*$B$5</f>
        <v/>
      </c>
      <c r="D31" s="12">
        <f>$B$12*$B$5</f>
        <v/>
      </c>
    </row>
    <row r="32">
      <c r="A32" s="3" t="inlineStr">
        <is>
          <t>Comisiones (USD)</t>
        </is>
      </c>
      <c r="B32" s="12">
        <f>B31*B22</f>
        <v/>
      </c>
      <c r="C32" s="12">
        <f>C31*C22</f>
        <v/>
      </c>
      <c r="D32" s="12">
        <f>D31*D22</f>
        <v/>
      </c>
    </row>
    <row r="33">
      <c r="A33" s="3" t="inlineStr">
        <is>
          <t>Ganancia neta a precio de ficha</t>
        </is>
      </c>
      <c r="B33" s="12">
        <f>B31-B19-B32</f>
        <v/>
      </c>
      <c r="C33" s="12">
        <f>C31-C19-C32</f>
        <v/>
      </c>
      <c r="D33" s="12">
        <f>D31-D19-D32</f>
        <v/>
      </c>
    </row>
    <row r="34">
      <c r="A34" s="3" t="inlineStr">
        <is>
          <t>Ganancia sobre precio</t>
        </is>
      </c>
      <c r="B34" s="14">
        <f>B33/B31</f>
        <v/>
      </c>
      <c r="C34" s="14">
        <f>C33/C31</f>
        <v/>
      </c>
      <c r="D34" s="14">
        <f>D33/D31</f>
        <v/>
      </c>
    </row>
    <row r="36">
      <c r="A36" s="15" t="inlineStr">
        <is>
          <t>Pendiente: proyecto, dirección de obra, logística hasta 50 km y gastos generales no están incluidos en el costo.</t>
        </is>
      </c>
    </row>
  </sheetData>
  <dataValidations count="1">
    <dataValidation sqref="B11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2026-10-04T13:12:35Z</dcterms:created>
  <dcterms:modified xsi:type="dcterms:W3CDTF">2026-10-04T13:20:10Z</dcterms:modified>
</cp:coreProperties>
</file>