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Plan" sheetId="2" state="visible" r:id="rId2"/>
    <sheet name="Compras" sheetId="3" state="visible" r:id="rId3"/>
    <sheet name="Certificación" sheetId="4" state="visible" r:id="rId4"/>
    <sheet name="Costo objetivo vs real" sheetId="5" state="visible" r:id="rId5"/>
    <sheet name="Adicion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"/>
    <numFmt numFmtId="165" formatCode="&quot;USD &quot;#,##0;[Red]&quot;USD &quot;-#,##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FFFF"/>
    </font>
    <font>
      <b val="1"/>
    </font>
    <font>
      <i val="1"/>
    </font>
    <font/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F523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4" fontId="0" fillId="0" borderId="0" pivotButton="0" quotePrefix="0" xfId="0"/>
    <xf numFmtId="165" fontId="0" fillId="2" borderId="0" pivotButton="0" quotePrefix="0" xfId="0"/>
    <xf numFmtId="9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66" fontId="0" fillId="0" borderId="1" pivotButton="0" quotePrefix="0" xfId="0"/>
    <xf numFmtId="165" fontId="0" fillId="0" borderId="1" pivotButton="0" quotePrefix="0" xfId="0"/>
    <xf numFmtId="9" fontId="0" fillId="2" borderId="1" pivotButton="0" quotePrefix="0" xfId="0"/>
    <xf numFmtId="0" fontId="4" fillId="0" borderId="1" pivotButton="0" quotePrefix="0" xfId="0"/>
    <xf numFmtId="9" fontId="0" fillId="0" borderId="1" pivotButton="0" quotePrefix="0" xfId="0"/>
    <xf numFmtId="0" fontId="6" fillId="0" borderId="1" pivotButton="0" quotePrefix="0" xfId="0"/>
    <xf numFmtId="165" fontId="0" fillId="2" borderId="1" pivotButton="0" quotePrefix="0" xfId="0"/>
    <xf numFmtId="164" fontId="0" fillId="2" borderId="0" pivotButton="0" quotePrefix="0" xfId="0"/>
    <xf numFmtId="164" fontId="0" fillId="0" borderId="0" pivotButton="0" quotePrefix="0" xfId="0"/>
    <xf numFmtId="165" fontId="0" fillId="2" borderId="0" pivotButton="0" quotePrefix="0" xfId="0"/>
    <xf numFmtId="164" fontId="0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5" fontId="0" fillId="2" borderId="1" pivotButton="0" quotePrefix="0" xfId="0"/>
  </cellXfs>
  <cellStyles count="1">
    <cellStyle name="Normal" xfId="0" builtinId="0" hidden="0"/>
  </cellStyles>
  <dxfs count="3">
    <dxf>
      <font>
        <color rgb="0070AD47"/>
      </font>
      <fill>
        <patternFill patternType="solid">
          <fgColor rgb="0070AD47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" t="inlineStr">
        <is>
          <t>URBANSIP · Gestión de obra (método Formosa adaptado a casas SIP)</t>
        </is>
      </c>
    </row>
    <row r="2">
      <c r="A2" t="inlineStr">
        <is>
          <t>Una copia por obra, en obras/&lt;MODELO&gt;-&lt;CLIENTE&gt;/. Amarillo = completar.</t>
        </is>
      </c>
    </row>
    <row r="4">
      <c r="A4" t="inlineStr">
        <is>
          <t>Obra</t>
        </is>
      </c>
      <c r="B4" s="2" t="inlineStr">
        <is>
          <t>Aura Esencial - &lt;Cliente&gt;</t>
        </is>
      </c>
    </row>
    <row r="5">
      <c r="A5" t="inlineStr">
        <is>
          <t>Fecha de inicio de obra</t>
        </is>
      </c>
      <c r="B5" s="21" t="n">
        <v>46328</v>
      </c>
    </row>
    <row r="6">
      <c r="A6" t="inlineStr">
        <is>
          <t>Hoy</t>
        </is>
      </c>
      <c r="B6" s="22">
        <f>TODAY()</f>
        <v/>
      </c>
    </row>
    <row r="7">
      <c r="A7" t="inlineStr">
        <is>
          <t>Mano de obra contratada (USD)</t>
        </is>
      </c>
      <c r="B7" s="23" t="n">
        <v>24820</v>
      </c>
    </row>
    <row r="8">
      <c r="A8" t="inlineStr">
        <is>
          <t>Fondo de garantía</t>
        </is>
      </c>
      <c r="B8" s="6" t="n">
        <v>0.05</v>
      </c>
    </row>
    <row r="9">
      <c r="A9" t="inlineStr">
        <is>
          <t>Días hábiles por semana</t>
        </is>
      </c>
      <c r="B9" s="2" t="n">
        <v>5</v>
      </c>
    </row>
    <row r="10">
      <c r="A10" t="inlineStr">
        <is>
          <t>Costo objetivo (USD, del modelo)</t>
        </is>
      </c>
      <c r="B10" s="23" t="n">
        <v>67849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9" customWidth="1" min="3" max="3"/>
    <col width="9" customWidth="1" min="4" max="4"/>
    <col width="8" customWidth="1" min="5" max="5"/>
    <col width="10" customWidth="1" min="6" max="6"/>
    <col width="10" customWidth="1" min="7" max="7"/>
    <col width="9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</cols>
  <sheetData>
    <row r="1">
      <c r="A1" s="7" t="inlineStr">
        <is>
          <t>Plan de obra · días hábiles con cuadrilla de 3 (planilla 'Mano de obra Aura')</t>
        </is>
      </c>
    </row>
    <row r="2">
      <c r="A2" t="inlineStr">
        <is>
          <t>Inicio = día hábil desde el comienzo. Se puede superponer tareas cambiando el inicio. Barras por semana.</t>
        </is>
      </c>
    </row>
    <row r="4">
      <c r="A4" s="8" t="inlineStr">
        <is>
          <t>Etapa</t>
        </is>
      </c>
      <c r="B4" s="8" t="inlineStr">
        <is>
          <t>Tarea</t>
        </is>
      </c>
      <c r="C4" s="8" t="inlineStr">
        <is>
          <t>Inicio (día)</t>
        </is>
      </c>
      <c r="D4" s="8" t="inlineStr">
        <is>
          <t>Duración (días)</t>
        </is>
      </c>
      <c r="E4" s="8" t="inlineStr">
        <is>
          <t>Fin (día)</t>
        </is>
      </c>
      <c r="F4" s="8" t="inlineStr">
        <is>
          <t>Fecha inicio</t>
        </is>
      </c>
      <c r="G4" s="8" t="inlineStr">
        <is>
          <t>Fecha fin</t>
        </is>
      </c>
      <c r="H4" s="8" t="inlineStr">
        <is>
          <t>Jornales</t>
        </is>
      </c>
      <c r="I4" s="8" t="inlineStr">
        <is>
          <t>S1</t>
        </is>
      </c>
      <c r="J4" s="8" t="inlineStr">
        <is>
          <t>S2</t>
        </is>
      </c>
      <c r="K4" s="8" t="inlineStr">
        <is>
          <t>S3</t>
        </is>
      </c>
      <c r="L4" s="8" t="inlineStr">
        <is>
          <t>S4</t>
        </is>
      </c>
      <c r="M4" s="8" t="inlineStr">
        <is>
          <t>S5</t>
        </is>
      </c>
      <c r="N4" s="8" t="inlineStr">
        <is>
          <t>S6</t>
        </is>
      </c>
      <c r="O4" s="8" t="inlineStr">
        <is>
          <t>S7</t>
        </is>
      </c>
      <c r="P4" s="8" t="inlineStr">
        <is>
          <t>S8</t>
        </is>
      </c>
      <c r="Q4" s="8" t="inlineStr">
        <is>
          <t>S9</t>
        </is>
      </c>
      <c r="R4" s="8" t="inlineStr">
        <is>
          <t>S10</t>
        </is>
      </c>
      <c r="S4" s="8" t="inlineStr">
        <is>
          <t>S11</t>
        </is>
      </c>
      <c r="T4" s="8" t="inlineStr">
        <is>
          <t>S12</t>
        </is>
      </c>
      <c r="U4" s="8" t="inlineStr">
        <is>
          <t>S13</t>
        </is>
      </c>
      <c r="V4" s="8" t="inlineStr">
        <is>
          <t>S14</t>
        </is>
      </c>
      <c r="W4" s="8" t="inlineStr">
        <is>
          <t>S15</t>
        </is>
      </c>
      <c r="X4" s="8" t="inlineStr">
        <is>
          <t>S16</t>
        </is>
      </c>
      <c r="Y4" s="8" t="inlineStr">
        <is>
          <t>S17</t>
        </is>
      </c>
      <c r="Z4" s="8" t="inlineStr">
        <is>
          <t>S18</t>
        </is>
      </c>
    </row>
    <row r="5">
      <c r="A5" s="9" t="inlineStr">
        <is>
          <t>1 Fundación</t>
        </is>
      </c>
      <c r="B5" s="9" t="inlineStr">
        <is>
          <t>Replanteo y trabajos preparatorios</t>
        </is>
      </c>
      <c r="C5" s="10" t="n">
        <v>0</v>
      </c>
      <c r="D5" s="10" t="n">
        <v>2</v>
      </c>
      <c r="E5" s="9">
        <f>C5+D5</f>
        <v/>
      </c>
      <c r="F5" s="24">
        <f>WORKDAY(Datos!$B$5,C5)</f>
        <v/>
      </c>
      <c r="G5" s="24">
        <f>WORKDAY(Datos!$B$5,E5-1)</f>
        <v/>
      </c>
      <c r="H5" s="9">
        <f>D5*3</f>
        <v/>
      </c>
      <c r="I5" s="9">
        <f>IF(AND(C5&lt;5,E5&gt;0),1,"")</f>
        <v/>
      </c>
      <c r="J5" s="9">
        <f>IF(AND(C5&lt;10,E5&gt;5),1,"")</f>
        <v/>
      </c>
      <c r="K5" s="9">
        <f>IF(AND(C5&lt;15,E5&gt;10),1,"")</f>
        <v/>
      </c>
      <c r="L5" s="9">
        <f>IF(AND(C5&lt;20,E5&gt;15),1,"")</f>
        <v/>
      </c>
      <c r="M5" s="9">
        <f>IF(AND(C5&lt;25,E5&gt;20),1,"")</f>
        <v/>
      </c>
      <c r="N5" s="9">
        <f>IF(AND(C5&lt;30,E5&gt;25),1,"")</f>
        <v/>
      </c>
      <c r="O5" s="9">
        <f>IF(AND(C5&lt;35,E5&gt;30),1,"")</f>
        <v/>
      </c>
      <c r="P5" s="9">
        <f>IF(AND(C5&lt;40,E5&gt;35),1,"")</f>
        <v/>
      </c>
      <c r="Q5" s="9">
        <f>IF(AND(C5&lt;45,E5&gt;40),1,"")</f>
        <v/>
      </c>
      <c r="R5" s="9">
        <f>IF(AND(C5&lt;50,E5&gt;45),1,"")</f>
        <v/>
      </c>
      <c r="S5" s="9">
        <f>IF(AND(C5&lt;55,E5&gt;50),1,"")</f>
        <v/>
      </c>
      <c r="T5" s="9">
        <f>IF(AND(C5&lt;60,E5&gt;55),1,"")</f>
        <v/>
      </c>
      <c r="U5" s="9">
        <f>IF(AND(C5&lt;65,E5&gt;60),1,"")</f>
        <v/>
      </c>
      <c r="V5" s="9">
        <f>IF(AND(C5&lt;70,E5&gt;65),1,"")</f>
        <v/>
      </c>
      <c r="W5" s="9">
        <f>IF(AND(C5&lt;75,E5&gt;70),1,"")</f>
        <v/>
      </c>
      <c r="X5" s="9">
        <f>IF(AND(C5&lt;80,E5&gt;75),1,"")</f>
        <v/>
      </c>
      <c r="Y5" s="9">
        <f>IF(AND(C5&lt;85,E5&gt;80),1,"")</f>
        <v/>
      </c>
      <c r="Z5" s="9">
        <f>IF(AND(C5&lt;90,E5&gt;85),1,"")</f>
        <v/>
      </c>
    </row>
    <row r="6">
      <c r="A6" s="9" t="inlineStr">
        <is>
          <t>1 Fundación</t>
        </is>
      </c>
      <c r="B6" s="9" t="inlineStr">
        <is>
          <t>Vigas de fundación con pilotines</t>
        </is>
      </c>
      <c r="C6" s="10" t="n">
        <v>2</v>
      </c>
      <c r="D6" s="10" t="n">
        <v>5</v>
      </c>
      <c r="E6" s="9">
        <f>C6+D6</f>
        <v/>
      </c>
      <c r="F6" s="24">
        <f>WORKDAY(Datos!$B$5,C6)</f>
        <v/>
      </c>
      <c r="G6" s="24">
        <f>WORKDAY(Datos!$B$5,E6-1)</f>
        <v/>
      </c>
      <c r="H6" s="9">
        <f>D6*3</f>
        <v/>
      </c>
      <c r="I6" s="9">
        <f>IF(AND(C6&lt;5,E6&gt;0),1,"")</f>
        <v/>
      </c>
      <c r="J6" s="9">
        <f>IF(AND(C6&lt;10,E6&gt;5),1,"")</f>
        <v/>
      </c>
      <c r="K6" s="9">
        <f>IF(AND(C6&lt;15,E6&gt;10),1,"")</f>
        <v/>
      </c>
      <c r="L6" s="9">
        <f>IF(AND(C6&lt;20,E6&gt;15),1,"")</f>
        <v/>
      </c>
      <c r="M6" s="9">
        <f>IF(AND(C6&lt;25,E6&gt;20),1,"")</f>
        <v/>
      </c>
      <c r="N6" s="9">
        <f>IF(AND(C6&lt;30,E6&gt;25),1,"")</f>
        <v/>
      </c>
      <c r="O6" s="9">
        <f>IF(AND(C6&lt;35,E6&gt;30),1,"")</f>
        <v/>
      </c>
      <c r="P6" s="9">
        <f>IF(AND(C6&lt;40,E6&gt;35),1,"")</f>
        <v/>
      </c>
      <c r="Q6" s="9">
        <f>IF(AND(C6&lt;45,E6&gt;40),1,"")</f>
        <v/>
      </c>
      <c r="R6" s="9">
        <f>IF(AND(C6&lt;50,E6&gt;45),1,"")</f>
        <v/>
      </c>
      <c r="S6" s="9">
        <f>IF(AND(C6&lt;55,E6&gt;50),1,"")</f>
        <v/>
      </c>
      <c r="T6" s="9">
        <f>IF(AND(C6&lt;60,E6&gt;55),1,"")</f>
        <v/>
      </c>
      <c r="U6" s="9">
        <f>IF(AND(C6&lt;65,E6&gt;60),1,"")</f>
        <v/>
      </c>
      <c r="V6" s="9">
        <f>IF(AND(C6&lt;70,E6&gt;65),1,"")</f>
        <v/>
      </c>
      <c r="W6" s="9">
        <f>IF(AND(C6&lt;75,E6&gt;70),1,"")</f>
        <v/>
      </c>
      <c r="X6" s="9">
        <f>IF(AND(C6&lt;80,E6&gt;75),1,"")</f>
        <v/>
      </c>
      <c r="Y6" s="9">
        <f>IF(AND(C6&lt;85,E6&gt;80),1,"")</f>
        <v/>
      </c>
      <c r="Z6" s="9">
        <f>IF(AND(C6&lt;90,E6&gt;85),1,"")</f>
        <v/>
      </c>
    </row>
    <row r="7">
      <c r="A7" s="9" t="inlineStr">
        <is>
          <t>1 Fundación</t>
        </is>
      </c>
      <c r="B7" s="9" t="inlineStr">
        <is>
          <t>Contrapiso y carpeta interior</t>
        </is>
      </c>
      <c r="C7" s="10" t="n">
        <v>7</v>
      </c>
      <c r="D7" s="10" t="n">
        <v>3</v>
      </c>
      <c r="E7" s="9">
        <f>C7+D7</f>
        <v/>
      </c>
      <c r="F7" s="24">
        <f>WORKDAY(Datos!$B$5,C7)</f>
        <v/>
      </c>
      <c r="G7" s="24">
        <f>WORKDAY(Datos!$B$5,E7-1)</f>
        <v/>
      </c>
      <c r="H7" s="9">
        <f>D7*3</f>
        <v/>
      </c>
      <c r="I7" s="9">
        <f>IF(AND(C7&lt;5,E7&gt;0),1,"")</f>
        <v/>
      </c>
      <c r="J7" s="9">
        <f>IF(AND(C7&lt;10,E7&gt;5),1,"")</f>
        <v/>
      </c>
      <c r="K7" s="9">
        <f>IF(AND(C7&lt;15,E7&gt;10),1,"")</f>
        <v/>
      </c>
      <c r="L7" s="9">
        <f>IF(AND(C7&lt;20,E7&gt;15),1,"")</f>
        <v/>
      </c>
      <c r="M7" s="9">
        <f>IF(AND(C7&lt;25,E7&gt;20),1,"")</f>
        <v/>
      </c>
      <c r="N7" s="9">
        <f>IF(AND(C7&lt;30,E7&gt;25),1,"")</f>
        <v/>
      </c>
      <c r="O7" s="9">
        <f>IF(AND(C7&lt;35,E7&gt;30),1,"")</f>
        <v/>
      </c>
      <c r="P7" s="9">
        <f>IF(AND(C7&lt;40,E7&gt;35),1,"")</f>
        <v/>
      </c>
      <c r="Q7" s="9">
        <f>IF(AND(C7&lt;45,E7&gt;40),1,"")</f>
        <v/>
      </c>
      <c r="R7" s="9">
        <f>IF(AND(C7&lt;50,E7&gt;45),1,"")</f>
        <v/>
      </c>
      <c r="S7" s="9">
        <f>IF(AND(C7&lt;55,E7&gt;50),1,"")</f>
        <v/>
      </c>
      <c r="T7" s="9">
        <f>IF(AND(C7&lt;60,E7&gt;55),1,"")</f>
        <v/>
      </c>
      <c r="U7" s="9">
        <f>IF(AND(C7&lt;65,E7&gt;60),1,"")</f>
        <v/>
      </c>
      <c r="V7" s="9">
        <f>IF(AND(C7&lt;70,E7&gt;65),1,"")</f>
        <v/>
      </c>
      <c r="W7" s="9">
        <f>IF(AND(C7&lt;75,E7&gt;70),1,"")</f>
        <v/>
      </c>
      <c r="X7" s="9">
        <f>IF(AND(C7&lt;80,E7&gt;75),1,"")</f>
        <v/>
      </c>
      <c r="Y7" s="9">
        <f>IF(AND(C7&lt;85,E7&gt;80),1,"")</f>
        <v/>
      </c>
      <c r="Z7" s="9">
        <f>IF(AND(C7&lt;90,E7&gt;85),1,"")</f>
        <v/>
      </c>
    </row>
    <row r="8">
      <c r="A8" s="9" t="inlineStr">
        <is>
          <t>2 Kit SIP</t>
        </is>
      </c>
      <c r="B8" s="9" t="inlineStr">
        <is>
          <t>Solera base y amure</t>
        </is>
      </c>
      <c r="C8" s="10" t="n">
        <v>10</v>
      </c>
      <c r="D8" s="10" t="n">
        <v>2</v>
      </c>
      <c r="E8" s="9">
        <f>C8+D8</f>
        <v/>
      </c>
      <c r="F8" s="24">
        <f>WORKDAY(Datos!$B$5,C8)</f>
        <v/>
      </c>
      <c r="G8" s="24">
        <f>WORKDAY(Datos!$B$5,E8-1)</f>
        <v/>
      </c>
      <c r="H8" s="9">
        <f>D8*3</f>
        <v/>
      </c>
      <c r="I8" s="9">
        <f>IF(AND(C8&lt;5,E8&gt;0),1,"")</f>
        <v/>
      </c>
      <c r="J8" s="9">
        <f>IF(AND(C8&lt;10,E8&gt;5),1,"")</f>
        <v/>
      </c>
      <c r="K8" s="9">
        <f>IF(AND(C8&lt;15,E8&gt;10),1,"")</f>
        <v/>
      </c>
      <c r="L8" s="9">
        <f>IF(AND(C8&lt;20,E8&gt;15),1,"")</f>
        <v/>
      </c>
      <c r="M8" s="9">
        <f>IF(AND(C8&lt;25,E8&gt;20),1,"")</f>
        <v/>
      </c>
      <c r="N8" s="9">
        <f>IF(AND(C8&lt;30,E8&gt;25),1,"")</f>
        <v/>
      </c>
      <c r="O8" s="9">
        <f>IF(AND(C8&lt;35,E8&gt;30),1,"")</f>
        <v/>
      </c>
      <c r="P8" s="9">
        <f>IF(AND(C8&lt;40,E8&gt;35),1,"")</f>
        <v/>
      </c>
      <c r="Q8" s="9">
        <f>IF(AND(C8&lt;45,E8&gt;40),1,"")</f>
        <v/>
      </c>
      <c r="R8" s="9">
        <f>IF(AND(C8&lt;50,E8&gt;45),1,"")</f>
        <v/>
      </c>
      <c r="S8" s="9">
        <f>IF(AND(C8&lt;55,E8&gt;50),1,"")</f>
        <v/>
      </c>
      <c r="T8" s="9">
        <f>IF(AND(C8&lt;60,E8&gt;55),1,"")</f>
        <v/>
      </c>
      <c r="U8" s="9">
        <f>IF(AND(C8&lt;65,E8&gt;60),1,"")</f>
        <v/>
      </c>
      <c r="V8" s="9">
        <f>IF(AND(C8&lt;70,E8&gt;65),1,"")</f>
        <v/>
      </c>
      <c r="W8" s="9">
        <f>IF(AND(C8&lt;75,E8&gt;70),1,"")</f>
        <v/>
      </c>
      <c r="X8" s="9">
        <f>IF(AND(C8&lt;80,E8&gt;75),1,"")</f>
        <v/>
      </c>
      <c r="Y8" s="9">
        <f>IF(AND(C8&lt;85,E8&gt;80),1,"")</f>
        <v/>
      </c>
      <c r="Z8" s="9">
        <f>IF(AND(C8&lt;90,E8&gt;85),1,"")</f>
        <v/>
      </c>
    </row>
    <row r="9">
      <c r="A9" s="9" t="inlineStr">
        <is>
          <t>2 Kit SIP</t>
        </is>
      </c>
      <c r="B9" s="9" t="inlineStr">
        <is>
          <t>Paneles exteriores</t>
        </is>
      </c>
      <c r="C9" s="10" t="n">
        <v>12</v>
      </c>
      <c r="D9" s="10" t="n">
        <v>6</v>
      </c>
      <c r="E9" s="9">
        <f>C9+D9</f>
        <v/>
      </c>
      <c r="F9" s="24">
        <f>WORKDAY(Datos!$B$5,C9)</f>
        <v/>
      </c>
      <c r="G9" s="24">
        <f>WORKDAY(Datos!$B$5,E9-1)</f>
        <v/>
      </c>
      <c r="H9" s="9">
        <f>D9*3</f>
        <v/>
      </c>
      <c r="I9" s="9">
        <f>IF(AND(C9&lt;5,E9&gt;0),1,"")</f>
        <v/>
      </c>
      <c r="J9" s="9">
        <f>IF(AND(C9&lt;10,E9&gt;5),1,"")</f>
        <v/>
      </c>
      <c r="K9" s="9">
        <f>IF(AND(C9&lt;15,E9&gt;10),1,"")</f>
        <v/>
      </c>
      <c r="L9" s="9">
        <f>IF(AND(C9&lt;20,E9&gt;15),1,"")</f>
        <v/>
      </c>
      <c r="M9" s="9">
        <f>IF(AND(C9&lt;25,E9&gt;20),1,"")</f>
        <v/>
      </c>
      <c r="N9" s="9">
        <f>IF(AND(C9&lt;30,E9&gt;25),1,"")</f>
        <v/>
      </c>
      <c r="O9" s="9">
        <f>IF(AND(C9&lt;35,E9&gt;30),1,"")</f>
        <v/>
      </c>
      <c r="P9" s="9">
        <f>IF(AND(C9&lt;40,E9&gt;35),1,"")</f>
        <v/>
      </c>
      <c r="Q9" s="9">
        <f>IF(AND(C9&lt;45,E9&gt;40),1,"")</f>
        <v/>
      </c>
      <c r="R9" s="9">
        <f>IF(AND(C9&lt;50,E9&gt;45),1,"")</f>
        <v/>
      </c>
      <c r="S9" s="9">
        <f>IF(AND(C9&lt;55,E9&gt;50),1,"")</f>
        <v/>
      </c>
      <c r="T9" s="9">
        <f>IF(AND(C9&lt;60,E9&gt;55),1,"")</f>
        <v/>
      </c>
      <c r="U9" s="9">
        <f>IF(AND(C9&lt;65,E9&gt;60),1,"")</f>
        <v/>
      </c>
      <c r="V9" s="9">
        <f>IF(AND(C9&lt;70,E9&gt;65),1,"")</f>
        <v/>
      </c>
      <c r="W9" s="9">
        <f>IF(AND(C9&lt;75,E9&gt;70),1,"")</f>
        <v/>
      </c>
      <c r="X9" s="9">
        <f>IF(AND(C9&lt;80,E9&gt;75),1,"")</f>
        <v/>
      </c>
      <c r="Y9" s="9">
        <f>IF(AND(C9&lt;85,E9&gt;80),1,"")</f>
        <v/>
      </c>
      <c r="Z9" s="9">
        <f>IF(AND(C9&lt;90,E9&gt;85),1,"")</f>
        <v/>
      </c>
    </row>
    <row r="10">
      <c r="A10" s="9" t="inlineStr">
        <is>
          <t>2 Kit SIP</t>
        </is>
      </c>
      <c r="B10" s="9" t="inlineStr">
        <is>
          <t>Paneles interiores</t>
        </is>
      </c>
      <c r="C10" s="10" t="n">
        <v>18</v>
      </c>
      <c r="D10" s="10" t="n">
        <v>2</v>
      </c>
      <c r="E10" s="9">
        <f>C10+D10</f>
        <v/>
      </c>
      <c r="F10" s="24">
        <f>WORKDAY(Datos!$B$5,C10)</f>
        <v/>
      </c>
      <c r="G10" s="24">
        <f>WORKDAY(Datos!$B$5,E10-1)</f>
        <v/>
      </c>
      <c r="H10" s="9">
        <f>D10*3</f>
        <v/>
      </c>
      <c r="I10" s="9">
        <f>IF(AND(C10&lt;5,E10&gt;0),1,"")</f>
        <v/>
      </c>
      <c r="J10" s="9">
        <f>IF(AND(C10&lt;10,E10&gt;5),1,"")</f>
        <v/>
      </c>
      <c r="K10" s="9">
        <f>IF(AND(C10&lt;15,E10&gt;10),1,"")</f>
        <v/>
      </c>
      <c r="L10" s="9">
        <f>IF(AND(C10&lt;20,E10&gt;15),1,"")</f>
        <v/>
      </c>
      <c r="M10" s="9">
        <f>IF(AND(C10&lt;25,E10&gt;20),1,"")</f>
        <v/>
      </c>
      <c r="N10" s="9">
        <f>IF(AND(C10&lt;30,E10&gt;25),1,"")</f>
        <v/>
      </c>
      <c r="O10" s="9">
        <f>IF(AND(C10&lt;35,E10&gt;30),1,"")</f>
        <v/>
      </c>
      <c r="P10" s="9">
        <f>IF(AND(C10&lt;40,E10&gt;35),1,"")</f>
        <v/>
      </c>
      <c r="Q10" s="9">
        <f>IF(AND(C10&lt;45,E10&gt;40),1,"")</f>
        <v/>
      </c>
      <c r="R10" s="9">
        <f>IF(AND(C10&lt;50,E10&gt;45),1,"")</f>
        <v/>
      </c>
      <c r="S10" s="9">
        <f>IF(AND(C10&lt;55,E10&gt;50),1,"")</f>
        <v/>
      </c>
      <c r="T10" s="9">
        <f>IF(AND(C10&lt;60,E10&gt;55),1,"")</f>
        <v/>
      </c>
      <c r="U10" s="9">
        <f>IF(AND(C10&lt;65,E10&gt;60),1,"")</f>
        <v/>
      </c>
      <c r="V10" s="9">
        <f>IF(AND(C10&lt;70,E10&gt;65),1,"")</f>
        <v/>
      </c>
      <c r="W10" s="9">
        <f>IF(AND(C10&lt;75,E10&gt;70),1,"")</f>
        <v/>
      </c>
      <c r="X10" s="9">
        <f>IF(AND(C10&lt;80,E10&gt;75),1,"")</f>
        <v/>
      </c>
      <c r="Y10" s="9">
        <f>IF(AND(C10&lt;85,E10&gt;80),1,"")</f>
        <v/>
      </c>
      <c r="Z10" s="9">
        <f>IF(AND(C10&lt;90,E10&gt;85),1,"")</f>
        <v/>
      </c>
    </row>
    <row r="11">
      <c r="A11" s="9" t="inlineStr">
        <is>
          <t>2 Kit SIP</t>
        </is>
      </c>
      <c r="B11" s="9" t="inlineStr">
        <is>
          <t>Dinteles, cabios y pintado de MDF</t>
        </is>
      </c>
      <c r="C11" s="10" t="n">
        <v>20</v>
      </c>
      <c r="D11" s="10" t="n">
        <v>3</v>
      </c>
      <c r="E11" s="9">
        <f>C11+D11</f>
        <v/>
      </c>
      <c r="F11" s="24">
        <f>WORKDAY(Datos!$B$5,C11)</f>
        <v/>
      </c>
      <c r="G11" s="24">
        <f>WORKDAY(Datos!$B$5,E11-1)</f>
        <v/>
      </c>
      <c r="H11" s="9">
        <f>D11*3</f>
        <v/>
      </c>
      <c r="I11" s="9">
        <f>IF(AND(C11&lt;5,E11&gt;0),1,"")</f>
        <v/>
      </c>
      <c r="J11" s="9">
        <f>IF(AND(C11&lt;10,E11&gt;5),1,"")</f>
        <v/>
      </c>
      <c r="K11" s="9">
        <f>IF(AND(C11&lt;15,E11&gt;10),1,"")</f>
        <v/>
      </c>
      <c r="L11" s="9">
        <f>IF(AND(C11&lt;20,E11&gt;15),1,"")</f>
        <v/>
      </c>
      <c r="M11" s="9">
        <f>IF(AND(C11&lt;25,E11&gt;20),1,"")</f>
        <v/>
      </c>
      <c r="N11" s="9">
        <f>IF(AND(C11&lt;30,E11&gt;25),1,"")</f>
        <v/>
      </c>
      <c r="O11" s="9">
        <f>IF(AND(C11&lt;35,E11&gt;30),1,"")</f>
        <v/>
      </c>
      <c r="P11" s="9">
        <f>IF(AND(C11&lt;40,E11&gt;35),1,"")</f>
        <v/>
      </c>
      <c r="Q11" s="9">
        <f>IF(AND(C11&lt;45,E11&gt;40),1,"")</f>
        <v/>
      </c>
      <c r="R11" s="9">
        <f>IF(AND(C11&lt;50,E11&gt;45),1,"")</f>
        <v/>
      </c>
      <c r="S11" s="9">
        <f>IF(AND(C11&lt;55,E11&gt;50),1,"")</f>
        <v/>
      </c>
      <c r="T11" s="9">
        <f>IF(AND(C11&lt;60,E11&gt;55),1,"")</f>
        <v/>
      </c>
      <c r="U11" s="9">
        <f>IF(AND(C11&lt;65,E11&gt;60),1,"")</f>
        <v/>
      </c>
      <c r="V11" s="9">
        <f>IF(AND(C11&lt;70,E11&gt;65),1,"")</f>
        <v/>
      </c>
      <c r="W11" s="9">
        <f>IF(AND(C11&lt;75,E11&gt;70),1,"")</f>
        <v/>
      </c>
      <c r="X11" s="9">
        <f>IF(AND(C11&lt;80,E11&gt;75),1,"")</f>
        <v/>
      </c>
      <c r="Y11" s="9">
        <f>IF(AND(C11&lt;85,E11&gt;80),1,"")</f>
        <v/>
      </c>
      <c r="Z11" s="9">
        <f>IF(AND(C11&lt;90,E11&gt;85),1,"")</f>
        <v/>
      </c>
    </row>
    <row r="12">
      <c r="A12" s="9" t="inlineStr">
        <is>
          <t>2 Kit SIP</t>
        </is>
      </c>
      <c r="B12" s="9" t="inlineStr">
        <is>
          <t>Cubierta SIP50</t>
        </is>
      </c>
      <c r="C12" s="10" t="n">
        <v>23</v>
      </c>
      <c r="D12" s="10" t="n">
        <v>4</v>
      </c>
      <c r="E12" s="9">
        <f>C12+D12</f>
        <v/>
      </c>
      <c r="F12" s="24">
        <f>WORKDAY(Datos!$B$5,C12)</f>
        <v/>
      </c>
      <c r="G12" s="24">
        <f>WORKDAY(Datos!$B$5,E12-1)</f>
        <v/>
      </c>
      <c r="H12" s="9">
        <f>D12*3</f>
        <v/>
      </c>
      <c r="I12" s="9">
        <f>IF(AND(C12&lt;5,E12&gt;0),1,"")</f>
        <v/>
      </c>
      <c r="J12" s="9">
        <f>IF(AND(C12&lt;10,E12&gt;5),1,"")</f>
        <v/>
      </c>
      <c r="K12" s="9">
        <f>IF(AND(C12&lt;15,E12&gt;10),1,"")</f>
        <v/>
      </c>
      <c r="L12" s="9">
        <f>IF(AND(C12&lt;20,E12&gt;15),1,"")</f>
        <v/>
      </c>
      <c r="M12" s="9">
        <f>IF(AND(C12&lt;25,E12&gt;20),1,"")</f>
        <v/>
      </c>
      <c r="N12" s="9">
        <f>IF(AND(C12&lt;30,E12&gt;25),1,"")</f>
        <v/>
      </c>
      <c r="O12" s="9">
        <f>IF(AND(C12&lt;35,E12&gt;30),1,"")</f>
        <v/>
      </c>
      <c r="P12" s="9">
        <f>IF(AND(C12&lt;40,E12&gt;35),1,"")</f>
        <v/>
      </c>
      <c r="Q12" s="9">
        <f>IF(AND(C12&lt;45,E12&gt;40),1,"")</f>
        <v/>
      </c>
      <c r="R12" s="9">
        <f>IF(AND(C12&lt;50,E12&gt;45),1,"")</f>
        <v/>
      </c>
      <c r="S12" s="9">
        <f>IF(AND(C12&lt;55,E12&gt;50),1,"")</f>
        <v/>
      </c>
      <c r="T12" s="9">
        <f>IF(AND(C12&lt;60,E12&gt;55),1,"")</f>
        <v/>
      </c>
      <c r="U12" s="9">
        <f>IF(AND(C12&lt;65,E12&gt;60),1,"")</f>
        <v/>
      </c>
      <c r="V12" s="9">
        <f>IF(AND(C12&lt;70,E12&gt;65),1,"")</f>
        <v/>
      </c>
      <c r="W12" s="9">
        <f>IF(AND(C12&lt;75,E12&gt;70),1,"")</f>
        <v/>
      </c>
      <c r="X12" s="9">
        <f>IF(AND(C12&lt;80,E12&gt;75),1,"")</f>
        <v/>
      </c>
      <c r="Y12" s="9">
        <f>IF(AND(C12&lt;85,E12&gt;80),1,"")</f>
        <v/>
      </c>
      <c r="Z12" s="9">
        <f>IF(AND(C12&lt;90,E12&gt;85),1,"")</f>
        <v/>
      </c>
    </row>
    <row r="13">
      <c r="A13" s="9" t="inlineStr">
        <is>
          <t>2 Kit SIP</t>
        </is>
      </c>
      <c r="B13" s="9" t="inlineStr">
        <is>
          <t>Membranas, alfajías, clavaderas, encintado y botagua</t>
        </is>
      </c>
      <c r="C13" s="10" t="n">
        <v>27</v>
      </c>
      <c r="D13" s="10" t="n">
        <v>4</v>
      </c>
      <c r="E13" s="9">
        <f>C13+D13</f>
        <v/>
      </c>
      <c r="F13" s="24">
        <f>WORKDAY(Datos!$B$5,C13)</f>
        <v/>
      </c>
      <c r="G13" s="24">
        <f>WORKDAY(Datos!$B$5,E13-1)</f>
        <v/>
      </c>
      <c r="H13" s="9">
        <f>D13*3</f>
        <v/>
      </c>
      <c r="I13" s="9">
        <f>IF(AND(C13&lt;5,E13&gt;0),1,"")</f>
        <v/>
      </c>
      <c r="J13" s="9">
        <f>IF(AND(C13&lt;10,E13&gt;5),1,"")</f>
        <v/>
      </c>
      <c r="K13" s="9">
        <f>IF(AND(C13&lt;15,E13&gt;10),1,"")</f>
        <v/>
      </c>
      <c r="L13" s="9">
        <f>IF(AND(C13&lt;20,E13&gt;15),1,"")</f>
        <v/>
      </c>
      <c r="M13" s="9">
        <f>IF(AND(C13&lt;25,E13&gt;20),1,"")</f>
        <v/>
      </c>
      <c r="N13" s="9">
        <f>IF(AND(C13&lt;30,E13&gt;25),1,"")</f>
        <v/>
      </c>
      <c r="O13" s="9">
        <f>IF(AND(C13&lt;35,E13&gt;30),1,"")</f>
        <v/>
      </c>
      <c r="P13" s="9">
        <f>IF(AND(C13&lt;40,E13&gt;35),1,"")</f>
        <v/>
      </c>
      <c r="Q13" s="9">
        <f>IF(AND(C13&lt;45,E13&gt;40),1,"")</f>
        <v/>
      </c>
      <c r="R13" s="9">
        <f>IF(AND(C13&lt;50,E13&gt;45),1,"")</f>
        <v/>
      </c>
      <c r="S13" s="9">
        <f>IF(AND(C13&lt;55,E13&gt;50),1,"")</f>
        <v/>
      </c>
      <c r="T13" s="9">
        <f>IF(AND(C13&lt;60,E13&gt;55),1,"")</f>
        <v/>
      </c>
      <c r="U13" s="9">
        <f>IF(AND(C13&lt;65,E13&gt;60),1,"")</f>
        <v/>
      </c>
      <c r="V13" s="9">
        <f>IF(AND(C13&lt;70,E13&gt;65),1,"")</f>
        <v/>
      </c>
      <c r="W13" s="9">
        <f>IF(AND(C13&lt;75,E13&gt;70),1,"")</f>
        <v/>
      </c>
      <c r="X13" s="9">
        <f>IF(AND(C13&lt;80,E13&gt;75),1,"")</f>
        <v/>
      </c>
      <c r="Y13" s="9">
        <f>IF(AND(C13&lt;85,E13&gt;80),1,"")</f>
        <v/>
      </c>
      <c r="Z13" s="9">
        <f>IF(AND(C13&lt;90,E13&gt;85),1,"")</f>
        <v/>
      </c>
    </row>
    <row r="14">
      <c r="A14" s="9" t="inlineStr">
        <is>
          <t>3 Obra gris</t>
        </is>
      </c>
      <c r="B14" s="9" t="inlineStr">
        <is>
          <t>Chapa y zinguería</t>
        </is>
      </c>
      <c r="C14" s="10" t="n">
        <v>31</v>
      </c>
      <c r="D14" s="10" t="n">
        <v>3</v>
      </c>
      <c r="E14" s="9">
        <f>C14+D14</f>
        <v/>
      </c>
      <c r="F14" s="24">
        <f>WORKDAY(Datos!$B$5,C14)</f>
        <v/>
      </c>
      <c r="G14" s="24">
        <f>WORKDAY(Datos!$B$5,E14-1)</f>
        <v/>
      </c>
      <c r="H14" s="9">
        <f>D14*3</f>
        <v/>
      </c>
      <c r="I14" s="9">
        <f>IF(AND(C14&lt;5,E14&gt;0),1,"")</f>
        <v/>
      </c>
      <c r="J14" s="9">
        <f>IF(AND(C14&lt;10,E14&gt;5),1,"")</f>
        <v/>
      </c>
      <c r="K14" s="9">
        <f>IF(AND(C14&lt;15,E14&gt;10),1,"")</f>
        <v/>
      </c>
      <c r="L14" s="9">
        <f>IF(AND(C14&lt;20,E14&gt;15),1,"")</f>
        <v/>
      </c>
      <c r="M14" s="9">
        <f>IF(AND(C14&lt;25,E14&gt;20),1,"")</f>
        <v/>
      </c>
      <c r="N14" s="9">
        <f>IF(AND(C14&lt;30,E14&gt;25),1,"")</f>
        <v/>
      </c>
      <c r="O14" s="9">
        <f>IF(AND(C14&lt;35,E14&gt;30),1,"")</f>
        <v/>
      </c>
      <c r="P14" s="9">
        <f>IF(AND(C14&lt;40,E14&gt;35),1,"")</f>
        <v/>
      </c>
      <c r="Q14" s="9">
        <f>IF(AND(C14&lt;45,E14&gt;40),1,"")</f>
        <v/>
      </c>
      <c r="R14" s="9">
        <f>IF(AND(C14&lt;50,E14&gt;45),1,"")</f>
        <v/>
      </c>
      <c r="S14" s="9">
        <f>IF(AND(C14&lt;55,E14&gt;50),1,"")</f>
        <v/>
      </c>
      <c r="T14" s="9">
        <f>IF(AND(C14&lt;60,E14&gt;55),1,"")</f>
        <v/>
      </c>
      <c r="U14" s="9">
        <f>IF(AND(C14&lt;65,E14&gt;60),1,"")</f>
        <v/>
      </c>
      <c r="V14" s="9">
        <f>IF(AND(C14&lt;70,E14&gt;65),1,"")</f>
        <v/>
      </c>
      <c r="W14" s="9">
        <f>IF(AND(C14&lt;75,E14&gt;70),1,"")</f>
        <v/>
      </c>
      <c r="X14" s="9">
        <f>IF(AND(C14&lt;80,E14&gt;75),1,"")</f>
        <v/>
      </c>
      <c r="Y14" s="9">
        <f>IF(AND(C14&lt;85,E14&gt;80),1,"")</f>
        <v/>
      </c>
      <c r="Z14" s="9">
        <f>IF(AND(C14&lt;90,E14&gt;85),1,"")</f>
        <v/>
      </c>
    </row>
    <row r="15">
      <c r="A15" s="9" t="inlineStr">
        <is>
          <t>3 Obra gris</t>
        </is>
      </c>
      <c r="B15" s="9" t="inlineStr">
        <is>
          <t>Instalación sanitaria gris</t>
        </is>
      </c>
      <c r="C15" s="10" t="n">
        <v>31</v>
      </c>
      <c r="D15" s="10" t="n">
        <v>3</v>
      </c>
      <c r="E15" s="9">
        <f>C15+D15</f>
        <v/>
      </c>
      <c r="F15" s="24">
        <f>WORKDAY(Datos!$B$5,C15)</f>
        <v/>
      </c>
      <c r="G15" s="24">
        <f>WORKDAY(Datos!$B$5,E15-1)</f>
        <v/>
      </c>
      <c r="H15" s="9">
        <f>D15*3</f>
        <v/>
      </c>
      <c r="I15" s="9">
        <f>IF(AND(C15&lt;5,E15&gt;0),1,"")</f>
        <v/>
      </c>
      <c r="J15" s="9">
        <f>IF(AND(C15&lt;10,E15&gt;5),1,"")</f>
        <v/>
      </c>
      <c r="K15" s="9">
        <f>IF(AND(C15&lt;15,E15&gt;10),1,"")</f>
        <v/>
      </c>
      <c r="L15" s="9">
        <f>IF(AND(C15&lt;20,E15&gt;15),1,"")</f>
        <v/>
      </c>
      <c r="M15" s="9">
        <f>IF(AND(C15&lt;25,E15&gt;20),1,"")</f>
        <v/>
      </c>
      <c r="N15" s="9">
        <f>IF(AND(C15&lt;30,E15&gt;25),1,"")</f>
        <v/>
      </c>
      <c r="O15" s="9">
        <f>IF(AND(C15&lt;35,E15&gt;30),1,"")</f>
        <v/>
      </c>
      <c r="P15" s="9">
        <f>IF(AND(C15&lt;40,E15&gt;35),1,"")</f>
        <v/>
      </c>
      <c r="Q15" s="9">
        <f>IF(AND(C15&lt;45,E15&gt;40),1,"")</f>
        <v/>
      </c>
      <c r="R15" s="9">
        <f>IF(AND(C15&lt;50,E15&gt;45),1,"")</f>
        <v/>
      </c>
      <c r="S15" s="9">
        <f>IF(AND(C15&lt;55,E15&gt;50),1,"")</f>
        <v/>
      </c>
      <c r="T15" s="9">
        <f>IF(AND(C15&lt;60,E15&gt;55),1,"")</f>
        <v/>
      </c>
      <c r="U15" s="9">
        <f>IF(AND(C15&lt;65,E15&gt;60),1,"")</f>
        <v/>
      </c>
      <c r="V15" s="9">
        <f>IF(AND(C15&lt;70,E15&gt;65),1,"")</f>
        <v/>
      </c>
      <c r="W15" s="9">
        <f>IF(AND(C15&lt;75,E15&gt;70),1,"")</f>
        <v/>
      </c>
      <c r="X15" s="9">
        <f>IF(AND(C15&lt;80,E15&gt;75),1,"")</f>
        <v/>
      </c>
      <c r="Y15" s="9">
        <f>IF(AND(C15&lt;85,E15&gt;80),1,"")</f>
        <v/>
      </c>
      <c r="Z15" s="9">
        <f>IF(AND(C15&lt;90,E15&gt;85),1,"")</f>
        <v/>
      </c>
    </row>
    <row r="16">
      <c r="A16" s="9" t="inlineStr">
        <is>
          <t>3 Obra gris</t>
        </is>
      </c>
      <c r="B16" s="9" t="inlineStr">
        <is>
          <t>Instalación eléctrica gris</t>
        </is>
      </c>
      <c r="C16" s="10" t="n">
        <v>34</v>
      </c>
      <c r="D16" s="10" t="n">
        <v>4</v>
      </c>
      <c r="E16" s="9">
        <f>C16+D16</f>
        <v/>
      </c>
      <c r="F16" s="24">
        <f>WORKDAY(Datos!$B$5,C16)</f>
        <v/>
      </c>
      <c r="G16" s="24">
        <f>WORKDAY(Datos!$B$5,E16-1)</f>
        <v/>
      </c>
      <c r="H16" s="9">
        <f>D16*3</f>
        <v/>
      </c>
      <c r="I16" s="9">
        <f>IF(AND(C16&lt;5,E16&gt;0),1,"")</f>
        <v/>
      </c>
      <c r="J16" s="9">
        <f>IF(AND(C16&lt;10,E16&gt;5),1,"")</f>
        <v/>
      </c>
      <c r="K16" s="9">
        <f>IF(AND(C16&lt;15,E16&gt;10),1,"")</f>
        <v/>
      </c>
      <c r="L16" s="9">
        <f>IF(AND(C16&lt;20,E16&gt;15),1,"")</f>
        <v/>
      </c>
      <c r="M16" s="9">
        <f>IF(AND(C16&lt;25,E16&gt;20),1,"")</f>
        <v/>
      </c>
      <c r="N16" s="9">
        <f>IF(AND(C16&lt;30,E16&gt;25),1,"")</f>
        <v/>
      </c>
      <c r="O16" s="9">
        <f>IF(AND(C16&lt;35,E16&gt;30),1,"")</f>
        <v/>
      </c>
      <c r="P16" s="9">
        <f>IF(AND(C16&lt;40,E16&gt;35),1,"")</f>
        <v/>
      </c>
      <c r="Q16" s="9">
        <f>IF(AND(C16&lt;45,E16&gt;40),1,"")</f>
        <v/>
      </c>
      <c r="R16" s="9">
        <f>IF(AND(C16&lt;50,E16&gt;45),1,"")</f>
        <v/>
      </c>
      <c r="S16" s="9">
        <f>IF(AND(C16&lt;55,E16&gt;50),1,"")</f>
        <v/>
      </c>
      <c r="T16" s="9">
        <f>IF(AND(C16&lt;60,E16&gt;55),1,"")</f>
        <v/>
      </c>
      <c r="U16" s="9">
        <f>IF(AND(C16&lt;65,E16&gt;60),1,"")</f>
        <v/>
      </c>
      <c r="V16" s="9">
        <f>IF(AND(C16&lt;70,E16&gt;65),1,"")</f>
        <v/>
      </c>
      <c r="W16" s="9">
        <f>IF(AND(C16&lt;75,E16&gt;70),1,"")</f>
        <v/>
      </c>
      <c r="X16" s="9">
        <f>IF(AND(C16&lt;80,E16&gt;75),1,"")</f>
        <v/>
      </c>
      <c r="Y16" s="9">
        <f>IF(AND(C16&lt;85,E16&gt;80),1,"")</f>
        <v/>
      </c>
      <c r="Z16" s="9">
        <f>IF(AND(C16&lt;90,E16&gt;85),1,"")</f>
        <v/>
      </c>
    </row>
    <row r="17">
      <c r="A17" s="9" t="inlineStr">
        <is>
          <t>3 Obra gris</t>
        </is>
      </c>
      <c r="B17" s="9" t="inlineStr">
        <is>
          <t>Ventanas, recuadros y sellados</t>
        </is>
      </c>
      <c r="C17" s="10" t="n">
        <v>34</v>
      </c>
      <c r="D17" s="10" t="n">
        <v>4</v>
      </c>
      <c r="E17" s="9">
        <f>C17+D17</f>
        <v/>
      </c>
      <c r="F17" s="24">
        <f>WORKDAY(Datos!$B$5,C17)</f>
        <v/>
      </c>
      <c r="G17" s="24">
        <f>WORKDAY(Datos!$B$5,E17-1)</f>
        <v/>
      </c>
      <c r="H17" s="9">
        <f>D17*3</f>
        <v/>
      </c>
      <c r="I17" s="9">
        <f>IF(AND(C17&lt;5,E17&gt;0),1,"")</f>
        <v/>
      </c>
      <c r="J17" s="9">
        <f>IF(AND(C17&lt;10,E17&gt;5),1,"")</f>
        <v/>
      </c>
      <c r="K17" s="9">
        <f>IF(AND(C17&lt;15,E17&gt;10),1,"")</f>
        <v/>
      </c>
      <c r="L17" s="9">
        <f>IF(AND(C17&lt;20,E17&gt;15),1,"")</f>
        <v/>
      </c>
      <c r="M17" s="9">
        <f>IF(AND(C17&lt;25,E17&gt;20),1,"")</f>
        <v/>
      </c>
      <c r="N17" s="9">
        <f>IF(AND(C17&lt;30,E17&gt;25),1,"")</f>
        <v/>
      </c>
      <c r="O17" s="9">
        <f>IF(AND(C17&lt;35,E17&gt;30),1,"")</f>
        <v/>
      </c>
      <c r="P17" s="9">
        <f>IF(AND(C17&lt;40,E17&gt;35),1,"")</f>
        <v/>
      </c>
      <c r="Q17" s="9">
        <f>IF(AND(C17&lt;45,E17&gt;40),1,"")</f>
        <v/>
      </c>
      <c r="R17" s="9">
        <f>IF(AND(C17&lt;50,E17&gt;45),1,"")</f>
        <v/>
      </c>
      <c r="S17" s="9">
        <f>IF(AND(C17&lt;55,E17&gt;50),1,"")</f>
        <v/>
      </c>
      <c r="T17" s="9">
        <f>IF(AND(C17&lt;60,E17&gt;55),1,"")</f>
        <v/>
      </c>
      <c r="U17" s="9">
        <f>IF(AND(C17&lt;65,E17&gt;60),1,"")</f>
        <v/>
      </c>
      <c r="V17" s="9">
        <f>IF(AND(C17&lt;70,E17&gt;65),1,"")</f>
        <v/>
      </c>
      <c r="W17" s="9">
        <f>IF(AND(C17&lt;75,E17&gt;70),1,"")</f>
        <v/>
      </c>
      <c r="X17" s="9">
        <f>IF(AND(C17&lt;80,E17&gt;75),1,"")</f>
        <v/>
      </c>
      <c r="Y17" s="9">
        <f>IF(AND(C17&lt;85,E17&gt;80),1,"")</f>
        <v/>
      </c>
      <c r="Z17" s="9">
        <f>IF(AND(C17&lt;90,E17&gt;85),1,"")</f>
        <v/>
      </c>
    </row>
    <row r="18">
      <c r="A18" s="9" t="inlineStr">
        <is>
          <t>3 Obra gris</t>
        </is>
      </c>
      <c r="B18" s="9" t="inlineStr">
        <is>
          <t>Siding exterior</t>
        </is>
      </c>
      <c r="C18" s="10" t="n">
        <v>38</v>
      </c>
      <c r="D18" s="10" t="n">
        <v>2</v>
      </c>
      <c r="E18" s="9">
        <f>C18+D18</f>
        <v/>
      </c>
      <c r="F18" s="24">
        <f>WORKDAY(Datos!$B$5,C18)</f>
        <v/>
      </c>
      <c r="G18" s="24">
        <f>WORKDAY(Datos!$B$5,E18-1)</f>
        <v/>
      </c>
      <c r="H18" s="9">
        <f>D18*3</f>
        <v/>
      </c>
      <c r="I18" s="9">
        <f>IF(AND(C18&lt;5,E18&gt;0),1,"")</f>
        <v/>
      </c>
      <c r="J18" s="9">
        <f>IF(AND(C18&lt;10,E18&gt;5),1,"")</f>
        <v/>
      </c>
      <c r="K18" s="9">
        <f>IF(AND(C18&lt;15,E18&gt;10),1,"")</f>
        <v/>
      </c>
      <c r="L18" s="9">
        <f>IF(AND(C18&lt;20,E18&gt;15),1,"")</f>
        <v/>
      </c>
      <c r="M18" s="9">
        <f>IF(AND(C18&lt;25,E18&gt;20),1,"")</f>
        <v/>
      </c>
      <c r="N18" s="9">
        <f>IF(AND(C18&lt;30,E18&gt;25),1,"")</f>
        <v/>
      </c>
      <c r="O18" s="9">
        <f>IF(AND(C18&lt;35,E18&gt;30),1,"")</f>
        <v/>
      </c>
      <c r="P18" s="9">
        <f>IF(AND(C18&lt;40,E18&gt;35),1,"")</f>
        <v/>
      </c>
      <c r="Q18" s="9">
        <f>IF(AND(C18&lt;45,E18&gt;40),1,"")</f>
        <v/>
      </c>
      <c r="R18" s="9">
        <f>IF(AND(C18&lt;50,E18&gt;45),1,"")</f>
        <v/>
      </c>
      <c r="S18" s="9">
        <f>IF(AND(C18&lt;55,E18&gt;50),1,"")</f>
        <v/>
      </c>
      <c r="T18" s="9">
        <f>IF(AND(C18&lt;60,E18&gt;55),1,"")</f>
        <v/>
      </c>
      <c r="U18" s="9">
        <f>IF(AND(C18&lt;65,E18&gt;60),1,"")</f>
        <v/>
      </c>
      <c r="V18" s="9">
        <f>IF(AND(C18&lt;70,E18&gt;65),1,"")</f>
        <v/>
      </c>
      <c r="W18" s="9">
        <f>IF(AND(C18&lt;75,E18&gt;70),1,"")</f>
        <v/>
      </c>
      <c r="X18" s="9">
        <f>IF(AND(C18&lt;80,E18&gt;75),1,"")</f>
        <v/>
      </c>
      <c r="Y18" s="9">
        <f>IF(AND(C18&lt;85,E18&gt;80),1,"")</f>
        <v/>
      </c>
      <c r="Z18" s="9">
        <f>IF(AND(C18&lt;90,E18&gt;85),1,"")</f>
        <v/>
      </c>
    </row>
    <row r="19">
      <c r="A19" s="9" t="inlineStr">
        <is>
          <t>3 Obra gris</t>
        </is>
      </c>
      <c r="B19" s="9" t="inlineStr">
        <is>
          <t>Revestimiento interior (durlock)</t>
        </is>
      </c>
      <c r="C19" s="10" t="n">
        <v>40</v>
      </c>
      <c r="D19" s="10" t="n">
        <v>5</v>
      </c>
      <c r="E19" s="9">
        <f>C19+D19</f>
        <v/>
      </c>
      <c r="F19" s="24">
        <f>WORKDAY(Datos!$B$5,C19)</f>
        <v/>
      </c>
      <c r="G19" s="24">
        <f>WORKDAY(Datos!$B$5,E19-1)</f>
        <v/>
      </c>
      <c r="H19" s="9">
        <f>D19*3</f>
        <v/>
      </c>
      <c r="I19" s="9">
        <f>IF(AND(C19&lt;5,E19&gt;0),1,"")</f>
        <v/>
      </c>
      <c r="J19" s="9">
        <f>IF(AND(C19&lt;10,E19&gt;5),1,"")</f>
        <v/>
      </c>
      <c r="K19" s="9">
        <f>IF(AND(C19&lt;15,E19&gt;10),1,"")</f>
        <v/>
      </c>
      <c r="L19" s="9">
        <f>IF(AND(C19&lt;20,E19&gt;15),1,"")</f>
        <v/>
      </c>
      <c r="M19" s="9">
        <f>IF(AND(C19&lt;25,E19&gt;20),1,"")</f>
        <v/>
      </c>
      <c r="N19" s="9">
        <f>IF(AND(C19&lt;30,E19&gt;25),1,"")</f>
        <v/>
      </c>
      <c r="O19" s="9">
        <f>IF(AND(C19&lt;35,E19&gt;30),1,"")</f>
        <v/>
      </c>
      <c r="P19" s="9">
        <f>IF(AND(C19&lt;40,E19&gt;35),1,"")</f>
        <v/>
      </c>
      <c r="Q19" s="9">
        <f>IF(AND(C19&lt;45,E19&gt;40),1,"")</f>
        <v/>
      </c>
      <c r="R19" s="9">
        <f>IF(AND(C19&lt;50,E19&gt;45),1,"")</f>
        <v/>
      </c>
      <c r="S19" s="9">
        <f>IF(AND(C19&lt;55,E19&gt;50),1,"")</f>
        <v/>
      </c>
      <c r="T19" s="9">
        <f>IF(AND(C19&lt;60,E19&gt;55),1,"")</f>
        <v/>
      </c>
      <c r="U19" s="9">
        <f>IF(AND(C19&lt;65,E19&gt;60),1,"")</f>
        <v/>
      </c>
      <c r="V19" s="9">
        <f>IF(AND(C19&lt;70,E19&gt;65),1,"")</f>
        <v/>
      </c>
      <c r="W19" s="9">
        <f>IF(AND(C19&lt;75,E19&gt;70),1,"")</f>
        <v/>
      </c>
      <c r="X19" s="9">
        <f>IF(AND(C19&lt;80,E19&gt;75),1,"")</f>
        <v/>
      </c>
      <c r="Y19" s="9">
        <f>IF(AND(C19&lt;85,E19&gt;80),1,"")</f>
        <v/>
      </c>
      <c r="Z19" s="9">
        <f>IF(AND(C19&lt;90,E19&gt;85),1,"")</f>
        <v/>
      </c>
    </row>
    <row r="20">
      <c r="A20" s="9" t="inlineStr">
        <is>
          <t>4 Terminaciones</t>
        </is>
      </c>
      <c r="B20" s="9" t="inlineStr">
        <is>
          <t>Cableado, módulos y tablero</t>
        </is>
      </c>
      <c r="C20" s="10" t="n">
        <v>45</v>
      </c>
      <c r="D20" s="10" t="n">
        <v>4</v>
      </c>
      <c r="E20" s="9">
        <f>C20+D20</f>
        <v/>
      </c>
      <c r="F20" s="24">
        <f>WORKDAY(Datos!$B$5,C20)</f>
        <v/>
      </c>
      <c r="G20" s="24">
        <f>WORKDAY(Datos!$B$5,E20-1)</f>
        <v/>
      </c>
      <c r="H20" s="9">
        <f>D20*3</f>
        <v/>
      </c>
      <c r="I20" s="9">
        <f>IF(AND(C20&lt;5,E20&gt;0),1,"")</f>
        <v/>
      </c>
      <c r="J20" s="9">
        <f>IF(AND(C20&lt;10,E20&gt;5),1,"")</f>
        <v/>
      </c>
      <c r="K20" s="9">
        <f>IF(AND(C20&lt;15,E20&gt;10),1,"")</f>
        <v/>
      </c>
      <c r="L20" s="9">
        <f>IF(AND(C20&lt;20,E20&gt;15),1,"")</f>
        <v/>
      </c>
      <c r="M20" s="9">
        <f>IF(AND(C20&lt;25,E20&gt;20),1,"")</f>
        <v/>
      </c>
      <c r="N20" s="9">
        <f>IF(AND(C20&lt;30,E20&gt;25),1,"")</f>
        <v/>
      </c>
      <c r="O20" s="9">
        <f>IF(AND(C20&lt;35,E20&gt;30),1,"")</f>
        <v/>
      </c>
      <c r="P20" s="9">
        <f>IF(AND(C20&lt;40,E20&gt;35),1,"")</f>
        <v/>
      </c>
      <c r="Q20" s="9">
        <f>IF(AND(C20&lt;45,E20&gt;40),1,"")</f>
        <v/>
      </c>
      <c r="R20" s="9">
        <f>IF(AND(C20&lt;50,E20&gt;45),1,"")</f>
        <v/>
      </c>
      <c r="S20" s="9">
        <f>IF(AND(C20&lt;55,E20&gt;50),1,"")</f>
        <v/>
      </c>
      <c r="T20" s="9">
        <f>IF(AND(C20&lt;60,E20&gt;55),1,"")</f>
        <v/>
      </c>
      <c r="U20" s="9">
        <f>IF(AND(C20&lt;65,E20&gt;60),1,"")</f>
        <v/>
      </c>
      <c r="V20" s="9">
        <f>IF(AND(C20&lt;70,E20&gt;65),1,"")</f>
        <v/>
      </c>
      <c r="W20" s="9">
        <f>IF(AND(C20&lt;75,E20&gt;70),1,"")</f>
        <v/>
      </c>
      <c r="X20" s="9">
        <f>IF(AND(C20&lt;80,E20&gt;75),1,"")</f>
        <v/>
      </c>
      <c r="Y20" s="9">
        <f>IF(AND(C20&lt;85,E20&gt;80),1,"")</f>
        <v/>
      </c>
      <c r="Z20" s="9">
        <f>IF(AND(C20&lt;90,E20&gt;85),1,"")</f>
        <v/>
      </c>
    </row>
    <row r="21">
      <c r="A21" s="9" t="inlineStr">
        <is>
          <t>4 Terminaciones</t>
        </is>
      </c>
      <c r="B21" s="9" t="inlineStr">
        <is>
          <t>Pisos y revestimientos</t>
        </is>
      </c>
      <c r="C21" s="10" t="n">
        <v>45</v>
      </c>
      <c r="D21" s="10" t="n">
        <v>5</v>
      </c>
      <c r="E21" s="9">
        <f>C21+D21</f>
        <v/>
      </c>
      <c r="F21" s="24">
        <f>WORKDAY(Datos!$B$5,C21)</f>
        <v/>
      </c>
      <c r="G21" s="24">
        <f>WORKDAY(Datos!$B$5,E21-1)</f>
        <v/>
      </c>
      <c r="H21" s="9">
        <f>D21*3</f>
        <v/>
      </c>
      <c r="I21" s="9">
        <f>IF(AND(C21&lt;5,E21&gt;0),1,"")</f>
        <v/>
      </c>
      <c r="J21" s="9">
        <f>IF(AND(C21&lt;10,E21&gt;5),1,"")</f>
        <v/>
      </c>
      <c r="K21" s="9">
        <f>IF(AND(C21&lt;15,E21&gt;10),1,"")</f>
        <v/>
      </c>
      <c r="L21" s="9">
        <f>IF(AND(C21&lt;20,E21&gt;15),1,"")</f>
        <v/>
      </c>
      <c r="M21" s="9">
        <f>IF(AND(C21&lt;25,E21&gt;20),1,"")</f>
        <v/>
      </c>
      <c r="N21" s="9">
        <f>IF(AND(C21&lt;30,E21&gt;25),1,"")</f>
        <v/>
      </c>
      <c r="O21" s="9">
        <f>IF(AND(C21&lt;35,E21&gt;30),1,"")</f>
        <v/>
      </c>
      <c r="P21" s="9">
        <f>IF(AND(C21&lt;40,E21&gt;35),1,"")</f>
        <v/>
      </c>
      <c r="Q21" s="9">
        <f>IF(AND(C21&lt;45,E21&gt;40),1,"")</f>
        <v/>
      </c>
      <c r="R21" s="9">
        <f>IF(AND(C21&lt;50,E21&gt;45),1,"")</f>
        <v/>
      </c>
      <c r="S21" s="9">
        <f>IF(AND(C21&lt;55,E21&gt;50),1,"")</f>
        <v/>
      </c>
      <c r="T21" s="9">
        <f>IF(AND(C21&lt;60,E21&gt;55),1,"")</f>
        <v/>
      </c>
      <c r="U21" s="9">
        <f>IF(AND(C21&lt;65,E21&gt;60),1,"")</f>
        <v/>
      </c>
      <c r="V21" s="9">
        <f>IF(AND(C21&lt;70,E21&gt;65),1,"")</f>
        <v/>
      </c>
      <c r="W21" s="9">
        <f>IF(AND(C21&lt;75,E21&gt;70),1,"")</f>
        <v/>
      </c>
      <c r="X21" s="9">
        <f>IF(AND(C21&lt;80,E21&gt;75),1,"")</f>
        <v/>
      </c>
      <c r="Y21" s="9">
        <f>IF(AND(C21&lt;85,E21&gt;80),1,"")</f>
        <v/>
      </c>
      <c r="Z21" s="9">
        <f>IF(AND(C21&lt;90,E21&gt;85),1,"")</f>
        <v/>
      </c>
    </row>
    <row r="22">
      <c r="A22" s="9" t="inlineStr">
        <is>
          <t>4 Terminaciones</t>
        </is>
      </c>
      <c r="B22" s="9" t="inlineStr">
        <is>
          <t>Puertas, herrajes y zócalos</t>
        </is>
      </c>
      <c r="C22" s="10" t="n">
        <v>50</v>
      </c>
      <c r="D22" s="10" t="n">
        <v>4</v>
      </c>
      <c r="E22" s="9">
        <f>C22+D22</f>
        <v/>
      </c>
      <c r="F22" s="24">
        <f>WORKDAY(Datos!$B$5,C22)</f>
        <v/>
      </c>
      <c r="G22" s="24">
        <f>WORKDAY(Datos!$B$5,E22-1)</f>
        <v/>
      </c>
      <c r="H22" s="9">
        <f>D22*3</f>
        <v/>
      </c>
      <c r="I22" s="9">
        <f>IF(AND(C22&lt;5,E22&gt;0),1,"")</f>
        <v/>
      </c>
      <c r="J22" s="9">
        <f>IF(AND(C22&lt;10,E22&gt;5),1,"")</f>
        <v/>
      </c>
      <c r="K22" s="9">
        <f>IF(AND(C22&lt;15,E22&gt;10),1,"")</f>
        <v/>
      </c>
      <c r="L22" s="9">
        <f>IF(AND(C22&lt;20,E22&gt;15),1,"")</f>
        <v/>
      </c>
      <c r="M22" s="9">
        <f>IF(AND(C22&lt;25,E22&gt;20),1,"")</f>
        <v/>
      </c>
      <c r="N22" s="9">
        <f>IF(AND(C22&lt;30,E22&gt;25),1,"")</f>
        <v/>
      </c>
      <c r="O22" s="9">
        <f>IF(AND(C22&lt;35,E22&gt;30),1,"")</f>
        <v/>
      </c>
      <c r="P22" s="9">
        <f>IF(AND(C22&lt;40,E22&gt;35),1,"")</f>
        <v/>
      </c>
      <c r="Q22" s="9">
        <f>IF(AND(C22&lt;45,E22&gt;40),1,"")</f>
        <v/>
      </c>
      <c r="R22" s="9">
        <f>IF(AND(C22&lt;50,E22&gt;45),1,"")</f>
        <v/>
      </c>
      <c r="S22" s="9">
        <f>IF(AND(C22&lt;55,E22&gt;50),1,"")</f>
        <v/>
      </c>
      <c r="T22" s="9">
        <f>IF(AND(C22&lt;60,E22&gt;55),1,"")</f>
        <v/>
      </c>
      <c r="U22" s="9">
        <f>IF(AND(C22&lt;65,E22&gt;60),1,"")</f>
        <v/>
      </c>
      <c r="V22" s="9">
        <f>IF(AND(C22&lt;70,E22&gt;65),1,"")</f>
        <v/>
      </c>
      <c r="W22" s="9">
        <f>IF(AND(C22&lt;75,E22&gt;70),1,"")</f>
        <v/>
      </c>
      <c r="X22" s="9">
        <f>IF(AND(C22&lt;80,E22&gt;75),1,"")</f>
        <v/>
      </c>
      <c r="Y22" s="9">
        <f>IF(AND(C22&lt;85,E22&gt;80),1,"")</f>
        <v/>
      </c>
      <c r="Z22" s="9">
        <f>IF(AND(C22&lt;90,E22&gt;85),1,"")</f>
        <v/>
      </c>
    </row>
    <row r="23">
      <c r="A23" s="9" t="inlineStr">
        <is>
          <t>4 Terminaciones</t>
        </is>
      </c>
      <c r="B23" s="9" t="inlineStr">
        <is>
          <t>Pintura interior</t>
        </is>
      </c>
      <c r="C23" s="10" t="n">
        <v>54</v>
      </c>
      <c r="D23" s="10" t="n">
        <v>5</v>
      </c>
      <c r="E23" s="9">
        <f>C23+D23</f>
        <v/>
      </c>
      <c r="F23" s="24">
        <f>WORKDAY(Datos!$B$5,C23)</f>
        <v/>
      </c>
      <c r="G23" s="24">
        <f>WORKDAY(Datos!$B$5,E23-1)</f>
        <v/>
      </c>
      <c r="H23" s="9">
        <f>D23*3</f>
        <v/>
      </c>
      <c r="I23" s="9">
        <f>IF(AND(C23&lt;5,E23&gt;0),1,"")</f>
        <v/>
      </c>
      <c r="J23" s="9">
        <f>IF(AND(C23&lt;10,E23&gt;5),1,"")</f>
        <v/>
      </c>
      <c r="K23" s="9">
        <f>IF(AND(C23&lt;15,E23&gt;10),1,"")</f>
        <v/>
      </c>
      <c r="L23" s="9">
        <f>IF(AND(C23&lt;20,E23&gt;15),1,"")</f>
        <v/>
      </c>
      <c r="M23" s="9">
        <f>IF(AND(C23&lt;25,E23&gt;20),1,"")</f>
        <v/>
      </c>
      <c r="N23" s="9">
        <f>IF(AND(C23&lt;30,E23&gt;25),1,"")</f>
        <v/>
      </c>
      <c r="O23" s="9">
        <f>IF(AND(C23&lt;35,E23&gt;30),1,"")</f>
        <v/>
      </c>
      <c r="P23" s="9">
        <f>IF(AND(C23&lt;40,E23&gt;35),1,"")</f>
        <v/>
      </c>
      <c r="Q23" s="9">
        <f>IF(AND(C23&lt;45,E23&gt;40),1,"")</f>
        <v/>
      </c>
      <c r="R23" s="9">
        <f>IF(AND(C23&lt;50,E23&gt;45),1,"")</f>
        <v/>
      </c>
      <c r="S23" s="9">
        <f>IF(AND(C23&lt;55,E23&gt;50),1,"")</f>
        <v/>
      </c>
      <c r="T23" s="9">
        <f>IF(AND(C23&lt;60,E23&gt;55),1,"")</f>
        <v/>
      </c>
      <c r="U23" s="9">
        <f>IF(AND(C23&lt;65,E23&gt;60),1,"")</f>
        <v/>
      </c>
      <c r="V23" s="9">
        <f>IF(AND(C23&lt;70,E23&gt;65),1,"")</f>
        <v/>
      </c>
      <c r="W23" s="9">
        <f>IF(AND(C23&lt;75,E23&gt;70),1,"")</f>
        <v/>
      </c>
      <c r="X23" s="9">
        <f>IF(AND(C23&lt;80,E23&gt;75),1,"")</f>
        <v/>
      </c>
      <c r="Y23" s="9">
        <f>IF(AND(C23&lt;85,E23&gt;80),1,"")</f>
        <v/>
      </c>
      <c r="Z23" s="9">
        <f>IF(AND(C23&lt;90,E23&gt;85),1,"")</f>
        <v/>
      </c>
    </row>
    <row r="24">
      <c r="A24" s="9" t="inlineStr">
        <is>
          <t>4 Terminaciones</t>
        </is>
      </c>
      <c r="B24" s="9" t="inlineStr">
        <is>
          <t>Pintura exterior</t>
        </is>
      </c>
      <c r="C24" s="10" t="n">
        <v>50</v>
      </c>
      <c r="D24" s="10" t="n">
        <v>5</v>
      </c>
      <c r="E24" s="9">
        <f>C24+D24</f>
        <v/>
      </c>
      <c r="F24" s="24">
        <f>WORKDAY(Datos!$B$5,C24)</f>
        <v/>
      </c>
      <c r="G24" s="24">
        <f>WORKDAY(Datos!$B$5,E24-1)</f>
        <v/>
      </c>
      <c r="H24" s="9">
        <f>D24*3</f>
        <v/>
      </c>
      <c r="I24" s="9">
        <f>IF(AND(C24&lt;5,E24&gt;0),1,"")</f>
        <v/>
      </c>
      <c r="J24" s="9">
        <f>IF(AND(C24&lt;10,E24&gt;5),1,"")</f>
        <v/>
      </c>
      <c r="K24" s="9">
        <f>IF(AND(C24&lt;15,E24&gt;10),1,"")</f>
        <v/>
      </c>
      <c r="L24" s="9">
        <f>IF(AND(C24&lt;20,E24&gt;15),1,"")</f>
        <v/>
      </c>
      <c r="M24" s="9">
        <f>IF(AND(C24&lt;25,E24&gt;20),1,"")</f>
        <v/>
      </c>
      <c r="N24" s="9">
        <f>IF(AND(C24&lt;30,E24&gt;25),1,"")</f>
        <v/>
      </c>
      <c r="O24" s="9">
        <f>IF(AND(C24&lt;35,E24&gt;30),1,"")</f>
        <v/>
      </c>
      <c r="P24" s="9">
        <f>IF(AND(C24&lt;40,E24&gt;35),1,"")</f>
        <v/>
      </c>
      <c r="Q24" s="9">
        <f>IF(AND(C24&lt;45,E24&gt;40),1,"")</f>
        <v/>
      </c>
      <c r="R24" s="9">
        <f>IF(AND(C24&lt;50,E24&gt;45),1,"")</f>
        <v/>
      </c>
      <c r="S24" s="9">
        <f>IF(AND(C24&lt;55,E24&gt;50),1,"")</f>
        <v/>
      </c>
      <c r="T24" s="9">
        <f>IF(AND(C24&lt;60,E24&gt;55),1,"")</f>
        <v/>
      </c>
      <c r="U24" s="9">
        <f>IF(AND(C24&lt;65,E24&gt;60),1,"")</f>
        <v/>
      </c>
      <c r="V24" s="9">
        <f>IF(AND(C24&lt;70,E24&gt;65),1,"")</f>
        <v/>
      </c>
      <c r="W24" s="9">
        <f>IF(AND(C24&lt;75,E24&gt;70),1,"")</f>
        <v/>
      </c>
      <c r="X24" s="9">
        <f>IF(AND(C24&lt;80,E24&gt;75),1,"")</f>
        <v/>
      </c>
      <c r="Y24" s="9">
        <f>IF(AND(C24&lt;85,E24&gt;80),1,"")</f>
        <v/>
      </c>
      <c r="Z24" s="9">
        <f>IF(AND(C24&lt;90,E24&gt;85),1,"")</f>
        <v/>
      </c>
    </row>
    <row r="25">
      <c r="A25" s="9" t="inlineStr">
        <is>
          <t>4 Terminaciones</t>
        </is>
      </c>
      <c r="B25" s="9" t="inlineStr">
        <is>
          <t>Contrapiso y carpeta exterior</t>
        </is>
      </c>
      <c r="C25" s="10" t="n">
        <v>55</v>
      </c>
      <c r="D25" s="10" t="n">
        <v>6</v>
      </c>
      <c r="E25" s="9">
        <f>C25+D25</f>
        <v/>
      </c>
      <c r="F25" s="24">
        <f>WORKDAY(Datos!$B$5,C25)</f>
        <v/>
      </c>
      <c r="G25" s="24">
        <f>WORKDAY(Datos!$B$5,E25-1)</f>
        <v/>
      </c>
      <c r="H25" s="9">
        <f>D25*3</f>
        <v/>
      </c>
      <c r="I25" s="9">
        <f>IF(AND(C25&lt;5,E25&gt;0),1,"")</f>
        <v/>
      </c>
      <c r="J25" s="9">
        <f>IF(AND(C25&lt;10,E25&gt;5),1,"")</f>
        <v/>
      </c>
      <c r="K25" s="9">
        <f>IF(AND(C25&lt;15,E25&gt;10),1,"")</f>
        <v/>
      </c>
      <c r="L25" s="9">
        <f>IF(AND(C25&lt;20,E25&gt;15),1,"")</f>
        <v/>
      </c>
      <c r="M25" s="9">
        <f>IF(AND(C25&lt;25,E25&gt;20),1,"")</f>
        <v/>
      </c>
      <c r="N25" s="9">
        <f>IF(AND(C25&lt;30,E25&gt;25),1,"")</f>
        <v/>
      </c>
      <c r="O25" s="9">
        <f>IF(AND(C25&lt;35,E25&gt;30),1,"")</f>
        <v/>
      </c>
      <c r="P25" s="9">
        <f>IF(AND(C25&lt;40,E25&gt;35),1,"")</f>
        <v/>
      </c>
      <c r="Q25" s="9">
        <f>IF(AND(C25&lt;45,E25&gt;40),1,"")</f>
        <v/>
      </c>
      <c r="R25" s="9">
        <f>IF(AND(C25&lt;50,E25&gt;45),1,"")</f>
        <v/>
      </c>
      <c r="S25" s="9">
        <f>IF(AND(C25&lt;55,E25&gt;50),1,"")</f>
        <v/>
      </c>
      <c r="T25" s="9">
        <f>IF(AND(C25&lt;60,E25&gt;55),1,"")</f>
        <v/>
      </c>
      <c r="U25" s="9">
        <f>IF(AND(C25&lt;65,E25&gt;60),1,"")</f>
        <v/>
      </c>
      <c r="V25" s="9">
        <f>IF(AND(C25&lt;70,E25&gt;65),1,"")</f>
        <v/>
      </c>
      <c r="W25" s="9">
        <f>IF(AND(C25&lt;75,E25&gt;70),1,"")</f>
        <v/>
      </c>
      <c r="X25" s="9">
        <f>IF(AND(C25&lt;80,E25&gt;75),1,"")</f>
        <v/>
      </c>
      <c r="Y25" s="9">
        <f>IF(AND(C25&lt;85,E25&gt;80),1,"")</f>
        <v/>
      </c>
      <c r="Z25" s="9">
        <f>IF(AND(C25&lt;90,E25&gt;85),1,"")</f>
        <v/>
      </c>
    </row>
    <row r="26">
      <c r="A26" s="9" t="inlineStr">
        <is>
          <t>4 Terminaciones</t>
        </is>
      </c>
      <c r="B26" s="9" t="inlineStr">
        <is>
          <t>Artefactos, mueble de cocina, mesada</t>
        </is>
      </c>
      <c r="C26" s="10" t="n">
        <v>59</v>
      </c>
      <c r="D26" s="10" t="n">
        <v>3</v>
      </c>
      <c r="E26" s="9">
        <f>C26+D26</f>
        <v/>
      </c>
      <c r="F26" s="24">
        <f>WORKDAY(Datos!$B$5,C26)</f>
        <v/>
      </c>
      <c r="G26" s="24">
        <f>WORKDAY(Datos!$B$5,E26-1)</f>
        <v/>
      </c>
      <c r="H26" s="9">
        <f>D26*3</f>
        <v/>
      </c>
      <c r="I26" s="9">
        <f>IF(AND(C26&lt;5,E26&gt;0),1,"")</f>
        <v/>
      </c>
      <c r="J26" s="9">
        <f>IF(AND(C26&lt;10,E26&gt;5),1,"")</f>
        <v/>
      </c>
      <c r="K26" s="9">
        <f>IF(AND(C26&lt;15,E26&gt;10),1,"")</f>
        <v/>
      </c>
      <c r="L26" s="9">
        <f>IF(AND(C26&lt;20,E26&gt;15),1,"")</f>
        <v/>
      </c>
      <c r="M26" s="9">
        <f>IF(AND(C26&lt;25,E26&gt;20),1,"")</f>
        <v/>
      </c>
      <c r="N26" s="9">
        <f>IF(AND(C26&lt;30,E26&gt;25),1,"")</f>
        <v/>
      </c>
      <c r="O26" s="9">
        <f>IF(AND(C26&lt;35,E26&gt;30),1,"")</f>
        <v/>
      </c>
      <c r="P26" s="9">
        <f>IF(AND(C26&lt;40,E26&gt;35),1,"")</f>
        <v/>
      </c>
      <c r="Q26" s="9">
        <f>IF(AND(C26&lt;45,E26&gt;40),1,"")</f>
        <v/>
      </c>
      <c r="R26" s="9">
        <f>IF(AND(C26&lt;50,E26&gt;45),1,"")</f>
        <v/>
      </c>
      <c r="S26" s="9">
        <f>IF(AND(C26&lt;55,E26&gt;50),1,"")</f>
        <v/>
      </c>
      <c r="T26" s="9">
        <f>IF(AND(C26&lt;60,E26&gt;55),1,"")</f>
        <v/>
      </c>
      <c r="U26" s="9">
        <f>IF(AND(C26&lt;65,E26&gt;60),1,"")</f>
        <v/>
      </c>
      <c r="V26" s="9">
        <f>IF(AND(C26&lt;70,E26&gt;65),1,"")</f>
        <v/>
      </c>
      <c r="W26" s="9">
        <f>IF(AND(C26&lt;75,E26&gt;70),1,"")</f>
        <v/>
      </c>
      <c r="X26" s="9">
        <f>IF(AND(C26&lt;80,E26&gt;75),1,"")</f>
        <v/>
      </c>
      <c r="Y26" s="9">
        <f>IF(AND(C26&lt;85,E26&gt;80),1,"")</f>
        <v/>
      </c>
      <c r="Z26" s="9">
        <f>IF(AND(C26&lt;90,E26&gt;85),1,"")</f>
        <v/>
      </c>
    </row>
    <row r="27">
      <c r="A27" s="9" t="inlineStr">
        <is>
          <t>5 Entrega</t>
        </is>
      </c>
      <c r="B27" s="9" t="inlineStr">
        <is>
          <t>Limpieza final y acta de recepción</t>
        </is>
      </c>
      <c r="C27" s="10" t="n">
        <v>62</v>
      </c>
      <c r="D27" s="10" t="n">
        <v>2</v>
      </c>
      <c r="E27" s="9">
        <f>C27+D27</f>
        <v/>
      </c>
      <c r="F27" s="24">
        <f>WORKDAY(Datos!$B$5,C27)</f>
        <v/>
      </c>
      <c r="G27" s="24">
        <f>WORKDAY(Datos!$B$5,E27-1)</f>
        <v/>
      </c>
      <c r="H27" s="9">
        <f>D27*3</f>
        <v/>
      </c>
      <c r="I27" s="9">
        <f>IF(AND(C27&lt;5,E27&gt;0),1,"")</f>
        <v/>
      </c>
      <c r="J27" s="9">
        <f>IF(AND(C27&lt;10,E27&gt;5),1,"")</f>
        <v/>
      </c>
      <c r="K27" s="9">
        <f>IF(AND(C27&lt;15,E27&gt;10),1,"")</f>
        <v/>
      </c>
      <c r="L27" s="9">
        <f>IF(AND(C27&lt;20,E27&gt;15),1,"")</f>
        <v/>
      </c>
      <c r="M27" s="9">
        <f>IF(AND(C27&lt;25,E27&gt;20),1,"")</f>
        <v/>
      </c>
      <c r="N27" s="9">
        <f>IF(AND(C27&lt;30,E27&gt;25),1,"")</f>
        <v/>
      </c>
      <c r="O27" s="9">
        <f>IF(AND(C27&lt;35,E27&gt;30),1,"")</f>
        <v/>
      </c>
      <c r="P27" s="9">
        <f>IF(AND(C27&lt;40,E27&gt;35),1,"")</f>
        <v/>
      </c>
      <c r="Q27" s="9">
        <f>IF(AND(C27&lt;45,E27&gt;40),1,"")</f>
        <v/>
      </c>
      <c r="R27" s="9">
        <f>IF(AND(C27&lt;50,E27&gt;45),1,"")</f>
        <v/>
      </c>
      <c r="S27" s="9">
        <f>IF(AND(C27&lt;55,E27&gt;50),1,"")</f>
        <v/>
      </c>
      <c r="T27" s="9">
        <f>IF(AND(C27&lt;60,E27&gt;55),1,"")</f>
        <v/>
      </c>
      <c r="U27" s="9">
        <f>IF(AND(C27&lt;65,E27&gt;60),1,"")</f>
        <v/>
      </c>
      <c r="V27" s="9">
        <f>IF(AND(C27&lt;70,E27&gt;65),1,"")</f>
        <v/>
      </c>
      <c r="W27" s="9">
        <f>IF(AND(C27&lt;75,E27&gt;70),1,"")</f>
        <v/>
      </c>
      <c r="X27" s="9">
        <f>IF(AND(C27&lt;80,E27&gt;75),1,"")</f>
        <v/>
      </c>
      <c r="Y27" s="9">
        <f>IF(AND(C27&lt;85,E27&gt;80),1,"")</f>
        <v/>
      </c>
      <c r="Z27" s="9">
        <f>IF(AND(C27&lt;90,E27&gt;85),1,"")</f>
        <v/>
      </c>
    </row>
    <row r="28">
      <c r="B28" s="12" t="inlineStr">
        <is>
          <t>TOTAL</t>
        </is>
      </c>
      <c r="E28">
        <f>MAX(E5:E27)</f>
        <v/>
      </c>
      <c r="H28">
        <f>SUM(H5:H27)</f>
        <v/>
      </c>
    </row>
    <row r="29">
      <c r="B29" t="inlineStr">
        <is>
          <t>Plazo en días corridos</t>
        </is>
      </c>
      <c r="E29">
        <f>WORKDAY(Datos!B5,E28)-Datos!B5</f>
        <v/>
      </c>
    </row>
    <row r="30">
      <c r="B30" s="13" t="inlineStr">
        <is>
          <t>Ficha: 90-105 días corridos. Verificar que el plazo dé dentro de ese rango.</t>
        </is>
      </c>
    </row>
  </sheetData>
  <conditionalFormatting sqref="I5:Z27">
    <cfRule type="cellIs" priority="1" operator="equal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3" customWidth="1" min="10" max="10"/>
    <col width="40" customWidth="1" min="11" max="11"/>
  </cols>
  <sheetData>
    <row r="1">
      <c r="A1" s="7" t="inlineStr">
        <is>
          <t>Compras hacia atrás · necesidad − fabricación − adjudicación − compulsa − documentación</t>
        </is>
      </c>
    </row>
    <row r="2">
      <c r="A2" t="inlineStr">
        <is>
          <t>Criterio Formosa: 30 días de documentación (alcance, cómputo, pliego, planos). En un modelo de catálogo la documentación ya está hecha: poner 0 salvo cambios del cliente.</t>
        </is>
      </c>
    </row>
    <row r="4">
      <c r="A4" s="8" t="inlineStr">
        <is>
          <t>Compra</t>
        </is>
      </c>
      <c r="B4" s="8" t="inlineStr">
        <is>
          <t>Para la tarea (fila del Plan)</t>
        </is>
      </c>
      <c r="C4" s="8" t="inlineStr">
        <is>
          <t>Fecha de necesidad</t>
        </is>
      </c>
      <c r="D4" s="8" t="inlineStr">
        <is>
          <t>Fabricación / entrega (días)</t>
        </is>
      </c>
      <c r="E4" s="8" t="inlineStr">
        <is>
          <t>Adjudicar antes de</t>
        </is>
      </c>
      <c r="F4" s="8" t="inlineStr">
        <is>
          <t>Compulsa (días)</t>
        </is>
      </c>
      <c r="G4" s="8" t="inlineStr">
        <is>
          <t>Pedir cotizaciones el</t>
        </is>
      </c>
      <c r="H4" s="8" t="inlineStr">
        <is>
          <t>Documentación (días)</t>
        </is>
      </c>
      <c r="I4" s="8" t="inlineStr">
        <is>
          <t>Documentación desde</t>
        </is>
      </c>
      <c r="J4" s="8" t="inlineStr">
        <is>
          <t>Estado</t>
        </is>
      </c>
      <c r="K4" s="8" t="inlineStr">
        <is>
          <t>Crítica</t>
        </is>
      </c>
    </row>
    <row r="5">
      <c r="A5" s="9" t="inlineStr">
        <is>
          <t>Kit de paneles SIPCOR + flete</t>
        </is>
      </c>
      <c r="B5" s="10" t="n">
        <v>8</v>
      </c>
      <c r="C5" s="24">
        <f>INDEX(Plan!$F$1:$F$40,B5)</f>
        <v/>
      </c>
      <c r="D5" s="10" t="n">
        <v>30</v>
      </c>
      <c r="E5" s="24">
        <f>C5-D5</f>
        <v/>
      </c>
      <c r="F5" s="10" t="n">
        <v>5</v>
      </c>
      <c r="G5" s="24">
        <f>E5-F5</f>
        <v/>
      </c>
      <c r="H5" s="10" t="n">
        <v>0</v>
      </c>
      <c r="I5" s="24">
        <f>G5-H5</f>
        <v/>
      </c>
      <c r="J5" s="9">
        <f>IF(I5&lt;Datos!$B$6,"ATRASADA",IF(I5-Datos!$B$6&lt;=7,"ESTA SEMANA","En plazo"))</f>
        <v/>
      </c>
      <c r="K5" s="9" t="inlineStr">
        <is>
          <t>SÍ: la compra crítica en SIP</t>
        </is>
      </c>
    </row>
    <row r="6">
      <c r="A6" s="9" t="inlineStr">
        <is>
          <t>Hormigón, hierro y áridos de fundación</t>
        </is>
      </c>
      <c r="B6" s="10" t="n">
        <v>6</v>
      </c>
      <c r="C6" s="24">
        <f>INDEX(Plan!$F$1:$F$40,B6)</f>
        <v/>
      </c>
      <c r="D6" s="10" t="n">
        <v>3</v>
      </c>
      <c r="E6" s="24">
        <f>C6-D6</f>
        <v/>
      </c>
      <c r="F6" s="10" t="n">
        <v>5</v>
      </c>
      <c r="G6" s="24">
        <f>E6-F6</f>
        <v/>
      </c>
      <c r="H6" s="10" t="n">
        <v>0</v>
      </c>
      <c r="I6" s="24">
        <f>G6-H6</f>
        <v/>
      </c>
      <c r="J6" s="9">
        <f>IF(I6&lt;Datos!$B$6,"ATRASADA",IF(I6-Datos!$B$6&lt;=7,"ESTA SEMANA","En plazo"))</f>
        <v/>
      </c>
      <c r="K6" s="9" t="inlineStr"/>
    </row>
    <row r="7">
      <c r="A7" s="9" t="inlineStr">
        <is>
          <t>Estudio de suelos</t>
        </is>
      </c>
      <c r="B7" s="10" t="n">
        <v>5</v>
      </c>
      <c r="C7" s="24">
        <f>INDEX(Plan!$F$1:$F$40,B7)</f>
        <v/>
      </c>
      <c r="D7" s="10" t="n">
        <v>10</v>
      </c>
      <c r="E7" s="24">
        <f>C7-D7</f>
        <v/>
      </c>
      <c r="F7" s="10" t="n">
        <v>3</v>
      </c>
      <c r="G7" s="24">
        <f>E7-F7</f>
        <v/>
      </c>
      <c r="H7" s="10" t="n">
        <v>0</v>
      </c>
      <c r="I7" s="24">
        <f>G7-H7</f>
        <v/>
      </c>
      <c r="J7" s="9">
        <f>IF(I7&lt;Datos!$B$6,"ATRASADA",IF(I7-Datos!$B$6&lt;=7,"ESTA SEMANA","En plazo"))</f>
        <v/>
      </c>
      <c r="K7" s="9" t="inlineStr">
        <is>
          <t>Antes de definir la fundación</t>
        </is>
      </c>
    </row>
    <row r="8">
      <c r="A8" s="9" t="inlineStr">
        <is>
          <t>Cabios, alfajías, clavaderas y chapa</t>
        </is>
      </c>
      <c r="B8" s="10" t="n">
        <v>11</v>
      </c>
      <c r="C8" s="24">
        <f>INDEX(Plan!$F$1:$F$40,B8)</f>
        <v/>
      </c>
      <c r="D8" s="10" t="n">
        <v>7</v>
      </c>
      <c r="E8" s="24">
        <f>C8-D8</f>
        <v/>
      </c>
      <c r="F8" s="10" t="n">
        <v>5</v>
      </c>
      <c r="G8" s="24">
        <f>E8-F8</f>
        <v/>
      </c>
      <c r="H8" s="10" t="n">
        <v>0</v>
      </c>
      <c r="I8" s="24">
        <f>G8-H8</f>
        <v/>
      </c>
      <c r="J8" s="9">
        <f>IF(I8&lt;Datos!$B$6,"ATRASADA",IF(I8-Datos!$B$6&lt;=7,"ESTA SEMANA","En plazo"))</f>
        <v/>
      </c>
      <c r="K8" s="9" t="inlineStr"/>
    </row>
    <row r="9">
      <c r="A9" s="9" t="inlineStr">
        <is>
          <t>Zinguería a medida</t>
        </is>
      </c>
      <c r="B9" s="10" t="n">
        <v>14</v>
      </c>
      <c r="C9" s="24">
        <f>INDEX(Plan!$F$1:$F$40,B9)</f>
        <v/>
      </c>
      <c r="D9" s="10" t="n">
        <v>10</v>
      </c>
      <c r="E9" s="24">
        <f>C9-D9</f>
        <v/>
      </c>
      <c r="F9" s="10" t="n">
        <v>5</v>
      </c>
      <c r="G9" s="24">
        <f>E9-F9</f>
        <v/>
      </c>
      <c r="H9" s="10" t="n">
        <v>0</v>
      </c>
      <c r="I9" s="24">
        <f>G9-H9</f>
        <v/>
      </c>
      <c r="J9" s="9">
        <f>IF(I9&lt;Datos!$B$6,"ATRASADA",IF(I9-Datos!$B$6&lt;=7,"ESTA SEMANA","En plazo"))</f>
        <v/>
      </c>
      <c r="K9" s="9" t="inlineStr"/>
    </row>
    <row r="10">
      <c r="A10" s="9" t="inlineStr">
        <is>
          <t>Aberturas de aluminio (o PVC en Confort)</t>
        </is>
      </c>
      <c r="B10" s="10" t="n">
        <v>17</v>
      </c>
      <c r="C10" s="24">
        <f>INDEX(Plan!$F$1:$F$40,B10)</f>
        <v/>
      </c>
      <c r="D10" s="10" t="n">
        <v>30</v>
      </c>
      <c r="E10" s="24">
        <f>C10-D10</f>
        <v/>
      </c>
      <c r="F10" s="10" t="n">
        <v>7</v>
      </c>
      <c r="G10" s="24">
        <f>E10-F10</f>
        <v/>
      </c>
      <c r="H10" s="10" t="n">
        <v>0</v>
      </c>
      <c r="I10" s="24">
        <f>G10-H10</f>
        <v/>
      </c>
      <c r="J10" s="9">
        <f>IF(I10&lt;Datos!$B$6,"ATRASADA",IF(I10-Datos!$B$6&lt;=7,"ESTA SEMANA","En plazo"))</f>
        <v/>
      </c>
      <c r="K10" s="9" t="inlineStr">
        <is>
          <t>Medidas de vanos definidas antes de pedir los paneles</t>
        </is>
      </c>
    </row>
    <row r="11">
      <c r="A11" s="9" t="inlineStr">
        <is>
          <t>Siding LP</t>
        </is>
      </c>
      <c r="B11" s="10" t="n">
        <v>18</v>
      </c>
      <c r="C11" s="24">
        <f>INDEX(Plan!$F$1:$F$40,B11)</f>
        <v/>
      </c>
      <c r="D11" s="10" t="n">
        <v>7</v>
      </c>
      <c r="E11" s="24">
        <f>C11-D11</f>
        <v/>
      </c>
      <c r="F11" s="10" t="n">
        <v>5</v>
      </c>
      <c r="G11" s="24">
        <f>E11-F11</f>
        <v/>
      </c>
      <c r="H11" s="10" t="n">
        <v>0</v>
      </c>
      <c r="I11" s="24">
        <f>G11-H11</f>
        <v/>
      </c>
      <c r="J11" s="9">
        <f>IF(I11&lt;Datos!$B$6,"ATRASADA",IF(I11-Datos!$B$6&lt;=7,"ESTA SEMANA","En plazo"))</f>
        <v/>
      </c>
      <c r="K11" s="9" t="inlineStr"/>
    </row>
    <row r="12">
      <c r="A12" s="9" t="inlineStr">
        <is>
          <t>Placas de yeso y RH</t>
        </is>
      </c>
      <c r="B12" s="10" t="n">
        <v>19</v>
      </c>
      <c r="C12" s="24">
        <f>INDEX(Plan!$F$1:$F$40,B12)</f>
        <v/>
      </c>
      <c r="D12" s="10" t="n">
        <v>5</v>
      </c>
      <c r="E12" s="24">
        <f>C12-D12</f>
        <v/>
      </c>
      <c r="F12" s="10" t="n">
        <v>3</v>
      </c>
      <c r="G12" s="24">
        <f>E12-F12</f>
        <v/>
      </c>
      <c r="H12" s="10" t="n">
        <v>0</v>
      </c>
      <c r="I12" s="24">
        <f>G12-H12</f>
        <v/>
      </c>
      <c r="J12" s="9">
        <f>IF(I12&lt;Datos!$B$6,"ATRASADA",IF(I12-Datos!$B$6&lt;=7,"ESTA SEMANA","En plazo"))</f>
        <v/>
      </c>
      <c r="K12" s="9" t="inlineStr"/>
    </row>
    <row r="13">
      <c r="A13" s="9" t="inlineStr">
        <is>
          <t>Materiales sanitarios y eléctricos</t>
        </is>
      </c>
      <c r="B13" s="10" t="n">
        <v>15</v>
      </c>
      <c r="C13" s="24">
        <f>INDEX(Plan!$F$1:$F$40,B13)</f>
        <v/>
      </c>
      <c r="D13" s="10" t="n">
        <v>5</v>
      </c>
      <c r="E13" s="24">
        <f>C13-D13</f>
        <v/>
      </c>
      <c r="F13" s="10" t="n">
        <v>5</v>
      </c>
      <c r="G13" s="24">
        <f>E13-F13</f>
        <v/>
      </c>
      <c r="H13" s="10" t="n">
        <v>0</v>
      </c>
      <c r="I13" s="24">
        <f>G13-H13</f>
        <v/>
      </c>
      <c r="J13" s="9">
        <f>IF(I13&lt;Datos!$B$6,"ATRASADA",IF(I13-Datos!$B$6&lt;=7,"ESTA SEMANA","En plazo"))</f>
        <v/>
      </c>
      <c r="K13" s="9" t="inlineStr"/>
    </row>
    <row r="14">
      <c r="A14" s="9" t="inlineStr">
        <is>
          <t>Porcelanato y pegamentos</t>
        </is>
      </c>
      <c r="B14" s="10" t="n">
        <v>21</v>
      </c>
      <c r="C14" s="24">
        <f>INDEX(Plan!$F$1:$F$40,B14)</f>
        <v/>
      </c>
      <c r="D14" s="10" t="n">
        <v>10</v>
      </c>
      <c r="E14" s="24">
        <f>C14-D14</f>
        <v/>
      </c>
      <c r="F14" s="10" t="n">
        <v>5</v>
      </c>
      <c r="G14" s="24">
        <f>E14-F14</f>
        <v/>
      </c>
      <c r="H14" s="10" t="n">
        <v>0</v>
      </c>
      <c r="I14" s="24">
        <f>G14-H14</f>
        <v/>
      </c>
      <c r="J14" s="9">
        <f>IF(I14&lt;Datos!$B$6,"ATRASADA",IF(I14-Datos!$B$6&lt;=7,"ESTA SEMANA","En plazo"))</f>
        <v/>
      </c>
      <c r="K14" s="9" t="inlineStr"/>
    </row>
    <row r="15">
      <c r="A15" s="9" t="inlineStr">
        <is>
          <t>Puertas interiores y principal</t>
        </is>
      </c>
      <c r="B15" s="10" t="n">
        <v>22</v>
      </c>
      <c r="C15" s="24">
        <f>INDEX(Plan!$F$1:$F$40,B15)</f>
        <v/>
      </c>
      <c r="D15" s="10" t="n">
        <v>15</v>
      </c>
      <c r="E15" s="24">
        <f>C15-D15</f>
        <v/>
      </c>
      <c r="F15" s="10" t="n">
        <v>5</v>
      </c>
      <c r="G15" s="24">
        <f>E15-F15</f>
        <v/>
      </c>
      <c r="H15" s="10" t="n">
        <v>0</v>
      </c>
      <c r="I15" s="24">
        <f>G15-H15</f>
        <v/>
      </c>
      <c r="J15" s="9">
        <f>IF(I15&lt;Datos!$B$6,"ATRASADA",IF(I15-Datos!$B$6&lt;=7,"ESTA SEMANA","En plazo"))</f>
        <v/>
      </c>
      <c r="K15" s="9" t="inlineStr"/>
    </row>
    <row r="16">
      <c r="A16" s="9" t="inlineStr">
        <is>
          <t>Mueble de cocina + mesada</t>
        </is>
      </c>
      <c r="B16" s="10" t="n">
        <v>26</v>
      </c>
      <c r="C16" s="24">
        <f>INDEX(Plan!$F$1:$F$40,B16)</f>
        <v/>
      </c>
      <c r="D16" s="10" t="n">
        <v>30</v>
      </c>
      <c r="E16" s="24">
        <f>C16-D16</f>
        <v/>
      </c>
      <c r="F16" s="10" t="n">
        <v>7</v>
      </c>
      <c r="G16" s="24">
        <f>E16-F16</f>
        <v/>
      </c>
      <c r="H16" s="10" t="n">
        <v>0</v>
      </c>
      <c r="I16" s="24">
        <f>G16-H16</f>
        <v/>
      </c>
      <c r="J16" s="9">
        <f>IF(I16&lt;Datos!$B$6,"ATRASADA",IF(I16-Datos!$B$6&lt;=7,"ESTA SEMANA","En plazo"))</f>
        <v/>
      </c>
      <c r="K16" s="9" t="inlineStr">
        <is>
          <t>Medir en obra después del durlock</t>
        </is>
      </c>
    </row>
    <row r="17">
      <c r="A17" s="9" t="inlineStr">
        <is>
          <t>Artefactos, griferías, termotanque, cocina</t>
        </is>
      </c>
      <c r="B17" s="10" t="n">
        <v>26</v>
      </c>
      <c r="C17" s="24">
        <f>INDEX(Plan!$F$1:$F$40,B17)</f>
        <v/>
      </c>
      <c r="D17" s="10" t="n">
        <v>7</v>
      </c>
      <c r="E17" s="24">
        <f>C17-D17</f>
        <v/>
      </c>
      <c r="F17" s="10" t="n">
        <v>5</v>
      </c>
      <c r="G17" s="24">
        <f>E17-F17</f>
        <v/>
      </c>
      <c r="H17" s="10" t="n">
        <v>0</v>
      </c>
      <c r="I17" s="24">
        <f>G17-H17</f>
        <v/>
      </c>
      <c r="J17" s="9">
        <f>IF(I17&lt;Datos!$B$6,"ATRASADA",IF(I17-Datos!$B$6&lt;=7,"ESTA SEMANA","En plazo"))</f>
        <v/>
      </c>
      <c r="K17" s="9" t="inlineStr"/>
    </row>
    <row r="19">
      <c r="A19" s="13" t="inlineStr">
        <is>
          <t>La columna B es el número de fila de la tarea en la hoja Plan (por ejemplo, 9 = Paneles exteriores).</t>
        </is>
      </c>
    </row>
  </sheetData>
  <conditionalFormatting sqref="J5:J17">
    <cfRule type="expression" priority="1" dxfId="1">
      <formula>J5="ATRASADA"</formula>
    </cfRule>
    <cfRule type="expression" priority="2" dxfId="2">
      <formula>J5="ESTA SEMANA"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7" t="inlineStr">
        <is>
          <t>Certificación quincenal de mano de obra · etapas pesadas por jornales</t>
        </is>
      </c>
    </row>
    <row r="2">
      <c r="A2" t="inlineStr">
        <is>
          <t>Criterio Formosa: avance por quincena, fondo de garantía 5%. La limpieza se paga con la aprobación de la Dirección de Obra. Adicionales solo con orden escrita previa.</t>
        </is>
      </c>
    </row>
    <row r="4">
      <c r="A4" s="8" t="inlineStr">
        <is>
          <t>Etapa</t>
        </is>
      </c>
      <c r="B4" s="8" t="inlineStr">
        <is>
          <t>Jornales</t>
        </is>
      </c>
      <c r="C4" s="8" t="inlineStr">
        <is>
          <t>Peso</t>
        </is>
      </c>
      <c r="D4" s="8" t="inlineStr">
        <is>
          <t>Monto etapa (USD)</t>
        </is>
      </c>
      <c r="E4" s="8" t="inlineStr">
        <is>
          <t>Q1 % acum.</t>
        </is>
      </c>
      <c r="F4" s="8" t="inlineStr">
        <is>
          <t>Q2 % acum.</t>
        </is>
      </c>
      <c r="G4" s="8" t="inlineStr">
        <is>
          <t>Q3 % acum.</t>
        </is>
      </c>
      <c r="H4" s="8" t="inlineStr">
        <is>
          <t>Q4 % acum.</t>
        </is>
      </c>
      <c r="I4" s="8" t="inlineStr">
        <is>
          <t>Q5 % acum.</t>
        </is>
      </c>
      <c r="J4" s="8" t="inlineStr">
        <is>
          <t>Q6 % acum.</t>
        </is>
      </c>
    </row>
    <row r="5">
      <c r="A5" s="9" t="inlineStr">
        <is>
          <t>1 Fundación</t>
        </is>
      </c>
      <c r="B5" s="9">
        <f>SUMIF(Plan!$A$5:$A$27,A5,Plan!$H$5:$H$27)</f>
        <v/>
      </c>
      <c r="C5" s="25">
        <f>B5/SUM($B$5:$B$9)</f>
        <v/>
      </c>
      <c r="D5" s="26">
        <f>C5*Datos!$B$7</f>
        <v/>
      </c>
      <c r="E5" s="16" t="n"/>
      <c r="F5" s="16" t="n"/>
      <c r="G5" s="16" t="n"/>
      <c r="H5" s="16" t="n"/>
      <c r="I5" s="16" t="n"/>
      <c r="J5" s="16" t="n"/>
    </row>
    <row r="6">
      <c r="A6" s="9" t="inlineStr">
        <is>
          <t>2 Kit SIP</t>
        </is>
      </c>
      <c r="B6" s="9">
        <f>SUMIF(Plan!$A$5:$A$27,A6,Plan!$H$5:$H$27)</f>
        <v/>
      </c>
      <c r="C6" s="25">
        <f>B6/SUM($B$5:$B$9)</f>
        <v/>
      </c>
      <c r="D6" s="26">
        <f>C6*Datos!$B$7</f>
        <v/>
      </c>
      <c r="E6" s="16" t="n"/>
      <c r="F6" s="16" t="n"/>
      <c r="G6" s="16" t="n"/>
      <c r="H6" s="16" t="n"/>
      <c r="I6" s="16" t="n"/>
      <c r="J6" s="16" t="n"/>
    </row>
    <row r="7">
      <c r="A7" s="9" t="inlineStr">
        <is>
          <t>3 Obra gris</t>
        </is>
      </c>
      <c r="B7" s="9">
        <f>SUMIF(Plan!$A$5:$A$27,A7,Plan!$H$5:$H$27)</f>
        <v/>
      </c>
      <c r="C7" s="25">
        <f>B7/SUM($B$5:$B$9)</f>
        <v/>
      </c>
      <c r="D7" s="26">
        <f>C7*Datos!$B$7</f>
        <v/>
      </c>
      <c r="E7" s="16" t="n"/>
      <c r="F7" s="16" t="n"/>
      <c r="G7" s="16" t="n"/>
      <c r="H7" s="16" t="n"/>
      <c r="I7" s="16" t="n"/>
      <c r="J7" s="16" t="n"/>
    </row>
    <row r="8">
      <c r="A8" s="9" t="inlineStr">
        <is>
          <t>4 Terminaciones</t>
        </is>
      </c>
      <c r="B8" s="9">
        <f>SUMIF(Plan!$A$5:$A$27,A8,Plan!$H$5:$H$27)</f>
        <v/>
      </c>
      <c r="C8" s="25">
        <f>B8/SUM($B$5:$B$9)</f>
        <v/>
      </c>
      <c r="D8" s="26">
        <f>C8*Datos!$B$7</f>
        <v/>
      </c>
      <c r="E8" s="16" t="n"/>
      <c r="F8" s="16" t="n"/>
      <c r="G8" s="16" t="n"/>
      <c r="H8" s="16" t="n"/>
      <c r="I8" s="16" t="n"/>
      <c r="J8" s="16" t="n"/>
    </row>
    <row r="9">
      <c r="A9" s="9" t="inlineStr">
        <is>
          <t>5 Entrega</t>
        </is>
      </c>
      <c r="B9" s="9">
        <f>SUMIF(Plan!$A$5:$A$27,A9,Plan!$H$5:$H$27)</f>
        <v/>
      </c>
      <c r="C9" s="25">
        <f>B9/SUM($B$5:$B$9)</f>
        <v/>
      </c>
      <c r="D9" s="26">
        <f>C9*Datos!$B$7</f>
        <v/>
      </c>
      <c r="E9" s="16" t="n"/>
      <c r="F9" s="16" t="n"/>
      <c r="G9" s="16" t="n"/>
      <c r="H9" s="16" t="n"/>
      <c r="I9" s="16" t="n"/>
      <c r="J9" s="16" t="n"/>
    </row>
    <row r="10">
      <c r="A10" s="17" t="inlineStr">
        <is>
          <t>TOTAL</t>
        </is>
      </c>
      <c r="B10" s="9">
        <f>SUM(B5:B9)</f>
        <v/>
      </c>
      <c r="C10" s="18">
        <f>SUM(C5:C9)</f>
        <v/>
      </c>
      <c r="D10" s="26">
        <f>SUM(D5:D9)</f>
        <v/>
      </c>
      <c r="E10" s="9" t="n"/>
      <c r="F10" s="9" t="n"/>
      <c r="G10" s="9" t="n"/>
      <c r="H10" s="9" t="n"/>
      <c r="I10" s="9" t="n"/>
      <c r="J10" s="9" t="n"/>
    </row>
    <row r="12">
      <c r="A12" s="12" t="inlineStr">
        <is>
          <t>CERTIFICADOS</t>
        </is>
      </c>
    </row>
    <row r="13">
      <c r="A13" s="8" t="inlineStr">
        <is>
          <t>Concepto</t>
        </is>
      </c>
      <c r="B13" s="8" t="inlineStr"/>
      <c r="C13" s="8" t="inlineStr"/>
      <c r="D13" s="8" t="inlineStr"/>
      <c r="E13" s="8" t="inlineStr">
        <is>
          <t>Q1</t>
        </is>
      </c>
      <c r="F13" s="8" t="inlineStr">
        <is>
          <t>Q2</t>
        </is>
      </c>
      <c r="G13" s="8" t="inlineStr">
        <is>
          <t>Q3</t>
        </is>
      </c>
      <c r="H13" s="8" t="inlineStr">
        <is>
          <t>Q4</t>
        </is>
      </c>
      <c r="I13" s="8" t="inlineStr">
        <is>
          <t>Q5</t>
        </is>
      </c>
      <c r="J13" s="8" t="inlineStr">
        <is>
          <t>Q6</t>
        </is>
      </c>
    </row>
    <row r="14">
      <c r="A14" s="19" t="inlineStr">
        <is>
          <t>Avance acumulado (USD)</t>
        </is>
      </c>
      <c r="B14" s="9" t="n"/>
      <c r="C14" s="9" t="n"/>
      <c r="D14" s="9" t="n"/>
      <c r="E14" s="26">
        <f>SUMPRODUCT($D$5:$D$9,E5:E9)</f>
        <v/>
      </c>
      <c r="F14" s="26">
        <f>SUMPRODUCT($D$5:$D$9,F5:F9)</f>
        <v/>
      </c>
      <c r="G14" s="26">
        <f>SUMPRODUCT($D$5:$D$9,G5:G9)</f>
        <v/>
      </c>
      <c r="H14" s="26">
        <f>SUMPRODUCT($D$5:$D$9,H5:H9)</f>
        <v/>
      </c>
      <c r="I14" s="26">
        <f>SUMPRODUCT($D$5:$D$9,I5:I9)</f>
        <v/>
      </c>
      <c r="J14" s="26">
        <f>SUMPRODUCT($D$5:$D$9,J5:J9)</f>
        <v/>
      </c>
    </row>
    <row r="15">
      <c r="A15" s="19" t="inlineStr">
        <is>
          <t>Certificado de la quincena (USD)</t>
        </is>
      </c>
      <c r="B15" s="9" t="n"/>
      <c r="C15" s="9" t="n"/>
      <c r="D15" s="9" t="n"/>
      <c r="E15" s="26">
        <f>E14</f>
        <v/>
      </c>
      <c r="F15" s="26">
        <f>F14-E14</f>
        <v/>
      </c>
      <c r="G15" s="26">
        <f>G14-F14</f>
        <v/>
      </c>
      <c r="H15" s="26">
        <f>H14-G14</f>
        <v/>
      </c>
      <c r="I15" s="26">
        <f>I14-H14</f>
        <v/>
      </c>
      <c r="J15" s="26">
        <f>J14-I14</f>
        <v/>
      </c>
    </row>
    <row r="16">
      <c r="A16" s="19" t="inlineStr">
        <is>
          <t>Fondo de garantía 5% (USD)</t>
        </is>
      </c>
      <c r="B16" s="9" t="n"/>
      <c r="C16" s="9" t="n"/>
      <c r="D16" s="9" t="n"/>
      <c r="E16" s="26">
        <f>-E15*Datos!$B$8</f>
        <v/>
      </c>
      <c r="F16" s="26">
        <f>-F15*Datos!$B$8</f>
        <v/>
      </c>
      <c r="G16" s="26">
        <f>-G15*Datos!$B$8</f>
        <v/>
      </c>
      <c r="H16" s="26">
        <f>-H15*Datos!$B$8</f>
        <v/>
      </c>
      <c r="I16" s="26">
        <f>-I15*Datos!$B$8</f>
        <v/>
      </c>
      <c r="J16" s="26">
        <f>-J15*Datos!$B$8</f>
        <v/>
      </c>
    </row>
    <row r="17">
      <c r="A17" s="17" t="inlineStr">
        <is>
          <t>A pagar (USD)</t>
        </is>
      </c>
      <c r="B17" s="9" t="n"/>
      <c r="C17" s="9" t="n"/>
      <c r="D17" s="9" t="n"/>
      <c r="E17" s="26">
        <f>E15+E16</f>
        <v/>
      </c>
      <c r="F17" s="26">
        <f>F15+F16</f>
        <v/>
      </c>
      <c r="G17" s="26">
        <f>G15+G16</f>
        <v/>
      </c>
      <c r="H17" s="26">
        <f>H15+H16</f>
        <v/>
      </c>
      <c r="I17" s="26">
        <f>I15+I16</f>
        <v/>
      </c>
      <c r="J17" s="26">
        <f>J15+J16</f>
        <v/>
      </c>
    </row>
    <row r="18">
      <c r="A18" s="19" t="inlineStr">
        <is>
          <t>Avance acumulado (%)</t>
        </is>
      </c>
      <c r="B18" s="9" t="n"/>
      <c r="C18" s="9" t="n"/>
      <c r="D18" s="9" t="n"/>
      <c r="E18" s="18">
        <f>E14/Datos!$B$7</f>
        <v/>
      </c>
      <c r="F18" s="18">
        <f>F14/Datos!$B$7</f>
        <v/>
      </c>
      <c r="G18" s="18">
        <f>G14/Datos!$B$7</f>
        <v/>
      </c>
      <c r="H18" s="18">
        <f>H14/Datos!$B$7</f>
        <v/>
      </c>
      <c r="I18" s="18">
        <f>I14/Datos!$B$7</f>
        <v/>
      </c>
      <c r="J18" s="18">
        <f>J14/Datos!$B$7</f>
        <v/>
      </c>
    </row>
    <row r="20">
      <c r="A20" t="inlineStr">
        <is>
          <t>El fondo de garantía acumulado se devuelve con la recepción de la obra.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13" customWidth="1" min="4" max="4"/>
    <col width="10" customWidth="1" min="5" max="5"/>
    <col width="20" customWidth="1" min="6" max="6"/>
    <col width="44" customWidth="1" min="7" max="7"/>
  </cols>
  <sheetData>
    <row r="1">
      <c r="A1" s="7" t="inlineStr">
        <is>
          <t>Control: costo objetivo (modelo) vs real, por rubro</t>
        </is>
      </c>
    </row>
    <row r="2">
      <c r="A2" t="inlineStr">
        <is>
          <t>Criterio Formosa: toda compra muestra el objetivo y el desvío. Antes de comparar totales, revisar el alcance ítem por ítem: lo que falta se valúa al precio objetivo.</t>
        </is>
      </c>
    </row>
    <row r="4">
      <c r="A4" s="8" t="inlineStr">
        <is>
          <t>Rubro</t>
        </is>
      </c>
      <c r="B4" s="8" t="inlineStr">
        <is>
          <t>Objetivo (USD)</t>
        </is>
      </c>
      <c r="C4" s="8" t="inlineStr">
        <is>
          <t>Comprometido / real (USD)</t>
        </is>
      </c>
      <c r="D4" s="8" t="inlineStr">
        <is>
          <t>Desvío (USD)</t>
        </is>
      </c>
      <c r="E4" s="8" t="inlineStr">
        <is>
          <t>Desvío %</t>
        </is>
      </c>
      <c r="F4" s="8" t="inlineStr">
        <is>
          <t>Proveedor</t>
        </is>
      </c>
      <c r="G4" s="8" t="inlineStr">
        <is>
          <t>Observación / alcance faltante</t>
        </is>
      </c>
    </row>
    <row r="5">
      <c r="A5" s="9" t="inlineStr">
        <is>
          <t>Fundación y contrapisos</t>
        </is>
      </c>
      <c r="B5" s="26" t="n">
        <v>2508</v>
      </c>
      <c r="C5" s="27" t="n"/>
      <c r="D5" s="26">
        <f>IF(C5="","",C5-B5)</f>
        <v/>
      </c>
      <c r="E5" s="25">
        <f>IF(C5="","",D5/B5)</f>
        <v/>
      </c>
      <c r="F5" s="10" t="n"/>
      <c r="G5" s="10" t="n"/>
    </row>
    <row r="6">
      <c r="A6" s="9" t="inlineStr">
        <is>
          <t>Kit SIPCOR + flete</t>
        </is>
      </c>
      <c r="B6" s="26" t="n">
        <v>18116</v>
      </c>
      <c r="C6" s="27" t="n"/>
      <c r="D6" s="26">
        <f>IF(C6="","",C6-B6)</f>
        <v/>
      </c>
      <c r="E6" s="25">
        <f>IF(C6="","",D6/B6)</f>
        <v/>
      </c>
      <c r="F6" s="10" t="n"/>
      <c r="G6" s="10" t="n"/>
    </row>
    <row r="7">
      <c r="A7" s="9" t="inlineStr">
        <is>
          <t>Obra gris: techo, siding, zinguería, durlock, sellado</t>
        </is>
      </c>
      <c r="B7" s="26" t="n">
        <v>6801</v>
      </c>
      <c r="C7" s="27" t="n"/>
      <c r="D7" s="26">
        <f>IF(C7="","",C7-B7)</f>
        <v/>
      </c>
      <c r="E7" s="25">
        <f>IF(C7="","",D7/B7)</f>
        <v/>
      </c>
      <c r="F7" s="10" t="n"/>
      <c r="G7" s="10" t="n"/>
    </row>
    <row r="8">
      <c r="A8" s="9" t="inlineStr">
        <is>
          <t>Instalaciones: materiales y artefactos</t>
        </is>
      </c>
      <c r="B8" s="26" t="n">
        <v>3869</v>
      </c>
      <c r="C8" s="27" t="n"/>
      <c r="D8" s="26">
        <f>IF(C8="","",C8-B8)</f>
        <v/>
      </c>
      <c r="E8" s="25">
        <f>IF(C8="","",D8/B8)</f>
        <v/>
      </c>
      <c r="F8" s="10" t="n"/>
      <c r="G8" s="10" t="n"/>
    </row>
    <row r="9">
      <c r="A9" s="9" t="inlineStr">
        <is>
          <t>Aberturas y puertas</t>
        </is>
      </c>
      <c r="B9" s="26" t="n">
        <v>4955</v>
      </c>
      <c r="C9" s="27" t="n"/>
      <c r="D9" s="26">
        <f>IF(C9="","",C9-B9)</f>
        <v/>
      </c>
      <c r="E9" s="25">
        <f>IF(C9="","",D9/B9)</f>
        <v/>
      </c>
      <c r="F9" s="10" t="n"/>
      <c r="G9" s="10" t="n"/>
    </row>
    <row r="10">
      <c r="A10" s="9" t="inlineStr">
        <is>
          <t>Terminaciones, pintura, cocina, mesada, varios</t>
        </is>
      </c>
      <c r="B10" s="26" t="n">
        <v>6782</v>
      </c>
      <c r="C10" s="27" t="n"/>
      <c r="D10" s="26">
        <f>IF(C10="","",C10-B10)</f>
        <v/>
      </c>
      <c r="E10" s="25">
        <f>IF(C10="","",D10/B10)</f>
        <v/>
      </c>
      <c r="F10" s="10" t="n"/>
      <c r="G10" s="10" t="n"/>
    </row>
    <row r="11">
      <c r="A11" s="9" t="inlineStr">
        <is>
          <t>Mano de obra</t>
        </is>
      </c>
      <c r="B11" s="26" t="n">
        <v>24820</v>
      </c>
      <c r="C11" s="27" t="n"/>
      <c r="D11" s="26">
        <f>IF(C11="","",C11-B11)</f>
        <v/>
      </c>
      <c r="E11" s="25">
        <f>IF(C11="","",D11/B11)</f>
        <v/>
      </c>
      <c r="F11" s="10" t="n"/>
      <c r="G11" s="10" t="n"/>
    </row>
    <row r="12">
      <c r="A12" s="17" t="inlineStr">
        <is>
          <t>TOTAL</t>
        </is>
      </c>
      <c r="B12" s="26">
        <f>SUM(B5:B11)</f>
        <v/>
      </c>
      <c r="C12" s="26">
        <f>SUM(C5:C11)</f>
        <v/>
      </c>
      <c r="D12" s="26">
        <f>C12-B12</f>
        <v/>
      </c>
      <c r="E12" s="9" t="n"/>
      <c r="F12" s="9" t="n"/>
      <c r="G12" s="9" t="n"/>
    </row>
    <row r="14">
      <c r="A14" s="13" t="inlineStr">
        <is>
          <t>Ciclo de mejora: al cerrar la obra, un desvío que se repite en 2 o 3 casas corrige el modelo de catálogo (nueva versión v2, v3).</t>
        </is>
      </c>
    </row>
  </sheetData>
  <conditionalFormatting sqref="E5:E11">
    <cfRule type="cellIs" priority="1" operator="greaterThan" dxfId="1">
      <formula>0.03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44" customWidth="1" min="4" max="4"/>
    <col width="12" customWidth="1" min="5" max="5"/>
    <col width="14" customWidth="1" min="6" max="6"/>
    <col width="12" customWidth="1" min="7" max="7"/>
    <col width="18" customWidth="1" min="8" max="8"/>
    <col width="14" customWidth="1" min="9" max="9"/>
  </cols>
  <sheetData>
    <row r="1">
      <c r="A1" s="7" t="inlineStr">
        <is>
          <t>Registro de adicionales y órdenes de cambio</t>
        </is>
      </c>
    </row>
    <row r="2">
      <c r="A2" t="inlineStr">
        <is>
          <t>Regla: ningún adicional se ejecuta sin orden escrita previa con precio. Los del cliente van también a la hoja Cambios de la venta.</t>
        </is>
      </c>
    </row>
    <row r="4">
      <c r="A4" s="8" t="inlineStr">
        <is>
          <t>#</t>
        </is>
      </c>
      <c r="B4" s="8" t="inlineStr">
        <is>
          <t>Fecha</t>
        </is>
      </c>
      <c r="C4" s="8" t="inlineStr">
        <is>
          <t>Pedido por (cliente / obra / contratista)</t>
        </is>
      </c>
      <c r="D4" s="8" t="inlineStr">
        <is>
          <t>Descripción</t>
        </is>
      </c>
      <c r="E4" s="8" t="inlineStr">
        <is>
          <t>Costo (USD)</t>
        </is>
      </c>
      <c r="F4" s="8" t="inlineStr">
        <is>
          <t>Precio al cliente (USD)</t>
        </is>
      </c>
      <c r="G4" s="8" t="inlineStr">
        <is>
          <t>Orden escrita (Sí/No)</t>
        </is>
      </c>
      <c r="H4" s="8" t="inlineStr">
        <is>
          <t>Firmada por</t>
        </is>
      </c>
      <c r="I4" s="8" t="inlineStr">
        <is>
          <t>Estado</t>
        </is>
      </c>
    </row>
    <row r="5">
      <c r="A5" s="9" t="n">
        <v>1</v>
      </c>
      <c r="B5" s="10" t="n"/>
      <c r="C5" s="10" t="n"/>
      <c r="D5" s="10" t="n"/>
      <c r="E5" s="10" t="n"/>
      <c r="F5" s="10" t="n"/>
      <c r="G5" s="10" t="n"/>
      <c r="H5" s="10" t="n"/>
      <c r="I5" s="10">
        <f>IF(D5="","",IF(G5="Sí","Autorizado","NO EJECUTAR"))</f>
        <v/>
      </c>
    </row>
    <row r="6">
      <c r="A6" s="9" t="n">
        <v>2</v>
      </c>
      <c r="B6" s="10" t="n"/>
      <c r="C6" s="10" t="n"/>
      <c r="D6" s="10" t="n"/>
      <c r="E6" s="10" t="n"/>
      <c r="F6" s="10" t="n"/>
      <c r="G6" s="10" t="n"/>
      <c r="H6" s="10" t="n"/>
      <c r="I6" s="10">
        <f>IF(D6="","",IF(G6="Sí","Autorizado","NO EJECUTAR"))</f>
        <v/>
      </c>
    </row>
    <row r="7">
      <c r="A7" s="9" t="n">
        <v>3</v>
      </c>
      <c r="B7" s="10" t="n"/>
      <c r="C7" s="10" t="n"/>
      <c r="D7" s="10" t="n"/>
      <c r="E7" s="10" t="n"/>
      <c r="F7" s="10" t="n"/>
      <c r="G7" s="10" t="n"/>
      <c r="H7" s="10" t="n"/>
      <c r="I7" s="10">
        <f>IF(D7="","",IF(G7="Sí","Autorizado","NO EJECUTAR"))</f>
        <v/>
      </c>
    </row>
    <row r="8">
      <c r="A8" s="9" t="n">
        <v>4</v>
      </c>
      <c r="B8" s="10" t="n"/>
      <c r="C8" s="10" t="n"/>
      <c r="D8" s="10" t="n"/>
      <c r="E8" s="10" t="n"/>
      <c r="F8" s="10" t="n"/>
      <c r="G8" s="10" t="n"/>
      <c r="H8" s="10" t="n"/>
      <c r="I8" s="10">
        <f>IF(D8="","",IF(G8="Sí","Autorizado","NO EJECUTAR"))</f>
        <v/>
      </c>
    </row>
    <row r="9">
      <c r="A9" s="9" t="n">
        <v>5</v>
      </c>
      <c r="B9" s="10" t="n"/>
      <c r="C9" s="10" t="n"/>
      <c r="D9" s="10" t="n"/>
      <c r="E9" s="10" t="n"/>
      <c r="F9" s="10" t="n"/>
      <c r="G9" s="10" t="n"/>
      <c r="H9" s="10" t="n"/>
      <c r="I9" s="10">
        <f>IF(D9="","",IF(G9="Sí","Autorizado","NO EJECUTAR"))</f>
        <v/>
      </c>
    </row>
    <row r="10">
      <c r="A10" s="9" t="n">
        <v>6</v>
      </c>
      <c r="B10" s="10" t="n"/>
      <c r="C10" s="10" t="n"/>
      <c r="D10" s="10" t="n"/>
      <c r="E10" s="10" t="n"/>
      <c r="F10" s="10" t="n"/>
      <c r="G10" s="10" t="n"/>
      <c r="H10" s="10" t="n"/>
      <c r="I10" s="10">
        <f>IF(D10="","",IF(G10="Sí","Autorizado","NO EJECUTAR"))</f>
        <v/>
      </c>
    </row>
    <row r="11">
      <c r="A11" s="9" t="n">
        <v>7</v>
      </c>
      <c r="B11" s="10" t="n"/>
      <c r="C11" s="10" t="n"/>
      <c r="D11" s="10" t="n"/>
      <c r="E11" s="10" t="n"/>
      <c r="F11" s="10" t="n"/>
      <c r="G11" s="10" t="n"/>
      <c r="H11" s="10" t="n"/>
      <c r="I11" s="10">
        <f>IF(D11="","",IF(G11="Sí","Autorizado","NO EJECUTAR"))</f>
        <v/>
      </c>
    </row>
    <row r="12">
      <c r="A12" s="9" t="n">
        <v>8</v>
      </c>
      <c r="B12" s="10" t="n"/>
      <c r="C12" s="10" t="n"/>
      <c r="D12" s="10" t="n"/>
      <c r="E12" s="10" t="n"/>
      <c r="F12" s="10" t="n"/>
      <c r="G12" s="10" t="n"/>
      <c r="H12" s="10" t="n"/>
      <c r="I12" s="10">
        <f>IF(D12="","",IF(G12="Sí","Autorizado","NO EJECUTAR"))</f>
        <v/>
      </c>
    </row>
    <row r="13">
      <c r="A13" s="9" t="n">
        <v>9</v>
      </c>
      <c r="B13" s="10" t="n"/>
      <c r="C13" s="10" t="n"/>
      <c r="D13" s="10" t="n"/>
      <c r="E13" s="10" t="n"/>
      <c r="F13" s="10" t="n"/>
      <c r="G13" s="10" t="n"/>
      <c r="H13" s="10" t="n"/>
      <c r="I13" s="10">
        <f>IF(D13="","",IF(G13="Sí","Autorizado","NO EJECUTAR"))</f>
        <v/>
      </c>
    </row>
    <row r="14">
      <c r="A14" s="9" t="n">
        <v>10</v>
      </c>
      <c r="B14" s="10" t="n"/>
      <c r="C14" s="10" t="n"/>
      <c r="D14" s="10" t="n"/>
      <c r="E14" s="10" t="n"/>
      <c r="F14" s="10" t="n"/>
      <c r="G14" s="10" t="n"/>
      <c r="H14" s="10" t="n"/>
      <c r="I14" s="10">
        <f>IF(D14="","",IF(G14="Sí","Autorizado","NO EJECUTAR"))</f>
        <v/>
      </c>
    </row>
    <row r="15">
      <c r="A15" s="9" t="n">
        <v>11</v>
      </c>
      <c r="B15" s="10" t="n"/>
      <c r="C15" s="10" t="n"/>
      <c r="D15" s="10" t="n"/>
      <c r="E15" s="10" t="n"/>
      <c r="F15" s="10" t="n"/>
      <c r="G15" s="10" t="n"/>
      <c r="H15" s="10" t="n"/>
      <c r="I15" s="10">
        <f>IF(D15="","",IF(G15="Sí","Autorizado","NO EJECUTAR"))</f>
        <v/>
      </c>
    </row>
    <row r="16">
      <c r="A16" s="9" t="n">
        <v>12</v>
      </c>
      <c r="B16" s="10" t="n"/>
      <c r="C16" s="10" t="n"/>
      <c r="D16" s="10" t="n"/>
      <c r="E16" s="10" t="n"/>
      <c r="F16" s="10" t="n"/>
      <c r="G16" s="10" t="n"/>
      <c r="H16" s="10" t="n"/>
      <c r="I16" s="10">
        <f>IF(D16="","",IF(G16="Sí","Autorizado","NO EJECUTAR"))</f>
        <v/>
      </c>
    </row>
    <row r="17">
      <c r="A17" s="9" t="n">
        <v>13</v>
      </c>
      <c r="B17" s="10" t="n"/>
      <c r="C17" s="10" t="n"/>
      <c r="D17" s="10" t="n"/>
      <c r="E17" s="10" t="n"/>
      <c r="F17" s="10" t="n"/>
      <c r="G17" s="10" t="n"/>
      <c r="H17" s="10" t="n"/>
      <c r="I17" s="10">
        <f>IF(D17="","",IF(G17="Sí","Autorizado","NO EJECUTAR"))</f>
        <v/>
      </c>
    </row>
    <row r="18">
      <c r="A18" s="9" t="n">
        <v>14</v>
      </c>
      <c r="B18" s="10" t="n"/>
      <c r="C18" s="10" t="n"/>
      <c r="D18" s="10" t="n"/>
      <c r="E18" s="10" t="n"/>
      <c r="F18" s="10" t="n"/>
      <c r="G18" s="10" t="n"/>
      <c r="H18" s="10" t="n"/>
      <c r="I18" s="10">
        <f>IF(D18="","",IF(G18="Sí","Autorizado","NO EJECUTAR"))</f>
        <v/>
      </c>
    </row>
    <row r="19">
      <c r="A19" s="9" t="n">
        <v>15</v>
      </c>
      <c r="B19" s="10" t="n"/>
      <c r="C19" s="10" t="n"/>
      <c r="D19" s="10" t="n"/>
      <c r="E19" s="10" t="n"/>
      <c r="F19" s="10" t="n"/>
      <c r="G19" s="10" t="n"/>
      <c r="H19" s="10" t="n"/>
      <c r="I19" s="10">
        <f>IF(D19="","",IF(G19="Sí","Autorizado","NO EJECUTAR"))</f>
        <v/>
      </c>
    </row>
    <row r="20">
      <c r="A20" s="9" t="n">
        <v>16</v>
      </c>
      <c r="B20" s="10" t="n"/>
      <c r="C20" s="10" t="n"/>
      <c r="D20" s="10" t="n"/>
      <c r="E20" s="10" t="n"/>
      <c r="F20" s="10" t="n"/>
      <c r="G20" s="10" t="n"/>
      <c r="H20" s="10" t="n"/>
      <c r="I20" s="10">
        <f>IF(D20="","",IF(G20="Sí","Autorizado","NO EJECUTAR"))</f>
        <v/>
      </c>
    </row>
    <row r="21">
      <c r="A21" s="9" t="n">
        <v>17</v>
      </c>
      <c r="B21" s="10" t="n"/>
      <c r="C21" s="10" t="n"/>
      <c r="D21" s="10" t="n"/>
      <c r="E21" s="10" t="n"/>
      <c r="F21" s="10" t="n"/>
      <c r="G21" s="10" t="n"/>
      <c r="H21" s="10" t="n"/>
      <c r="I21" s="10">
        <f>IF(D21="","",IF(G21="Sí","Autorizado","NO EJECUTAR"))</f>
        <v/>
      </c>
    </row>
    <row r="22">
      <c r="A22" s="9" t="n">
        <v>18</v>
      </c>
      <c r="B22" s="10" t="n"/>
      <c r="C22" s="10" t="n"/>
      <c r="D22" s="10" t="n"/>
      <c r="E22" s="10" t="n"/>
      <c r="F22" s="10" t="n"/>
      <c r="G22" s="10" t="n"/>
      <c r="H22" s="10" t="n"/>
      <c r="I22" s="10">
        <f>IF(D22="","",IF(G22="Sí","Autorizado","NO EJECUTAR"))</f>
        <v/>
      </c>
    </row>
    <row r="23">
      <c r="A23" s="9" t="n">
        <v>19</v>
      </c>
      <c r="B23" s="10" t="n"/>
      <c r="C23" s="10" t="n"/>
      <c r="D23" s="10" t="n"/>
      <c r="E23" s="10" t="n"/>
      <c r="F23" s="10" t="n"/>
      <c r="G23" s="10" t="n"/>
      <c r="H23" s="10" t="n"/>
      <c r="I23" s="10">
        <f>IF(D23="","",IF(G23="Sí","Autorizado","NO EJECUTAR"))</f>
        <v/>
      </c>
    </row>
    <row r="24">
      <c r="A24" s="9" t="n">
        <v>20</v>
      </c>
      <c r="B24" s="10" t="n"/>
      <c r="C24" s="10" t="n"/>
      <c r="D24" s="10" t="n"/>
      <c r="E24" s="10" t="n"/>
      <c r="F24" s="10" t="n"/>
      <c r="G24" s="10" t="n"/>
      <c r="H24" s="10" t="n"/>
      <c r="I24" s="10">
        <f>IF(D24="","",IF(G24="Sí","Autorizado","NO EJECUTAR"))</f>
        <v/>
      </c>
    </row>
    <row r="25">
      <c r="A25" s="9" t="n">
        <v>21</v>
      </c>
      <c r="B25" s="10" t="n"/>
      <c r="C25" s="10" t="n"/>
      <c r="D25" s="10" t="n"/>
      <c r="E25" s="10" t="n"/>
      <c r="F25" s="10" t="n"/>
      <c r="G25" s="10" t="n"/>
      <c r="H25" s="10" t="n"/>
      <c r="I25" s="10">
        <f>IF(D25="","",IF(G25="Sí","Autorizado","NO EJECUTAR"))</f>
        <v/>
      </c>
    </row>
    <row r="26">
      <c r="A26" s="9" t="n">
        <v>22</v>
      </c>
      <c r="B26" s="10" t="n"/>
      <c r="C26" s="10" t="n"/>
      <c r="D26" s="10" t="n"/>
      <c r="E26" s="10" t="n"/>
      <c r="F26" s="10" t="n"/>
      <c r="G26" s="10" t="n"/>
      <c r="H26" s="10" t="n"/>
      <c r="I26" s="10">
        <f>IF(D26="","",IF(G26="Sí","Autorizado","NO EJECUTAR"))</f>
        <v/>
      </c>
    </row>
    <row r="27">
      <c r="A27" s="9" t="n">
        <v>23</v>
      </c>
      <c r="B27" s="10" t="n"/>
      <c r="C27" s="10" t="n"/>
      <c r="D27" s="10" t="n"/>
      <c r="E27" s="10" t="n"/>
      <c r="F27" s="10" t="n"/>
      <c r="G27" s="10" t="n"/>
      <c r="H27" s="10" t="n"/>
      <c r="I27" s="10">
        <f>IF(D27="","",IF(G27="Sí","Autorizado","NO EJECUTAR"))</f>
        <v/>
      </c>
    </row>
    <row r="28">
      <c r="A28" s="9" t="n">
        <v>24</v>
      </c>
      <c r="B28" s="10" t="n"/>
      <c r="C28" s="10" t="n"/>
      <c r="D28" s="10" t="n"/>
      <c r="E28" s="10" t="n"/>
      <c r="F28" s="10" t="n"/>
      <c r="G28" s="10" t="n"/>
      <c r="H28" s="10" t="n"/>
      <c r="I28" s="10">
        <f>IF(D28="","",IF(G28="Sí","Autorizado","NO EJECUTAR"))</f>
        <v/>
      </c>
    </row>
    <row r="29">
      <c r="A29" s="9" t="n">
        <v>25</v>
      </c>
      <c r="B29" s="10" t="n"/>
      <c r="C29" s="10" t="n"/>
      <c r="D29" s="10" t="n"/>
      <c r="E29" s="10" t="n"/>
      <c r="F29" s="10" t="n"/>
      <c r="G29" s="10" t="n"/>
      <c r="H29" s="10" t="n"/>
      <c r="I29" s="10">
        <f>IF(D29="","",IF(G29="Sí","Autorizado","NO EJECUTAR"))</f>
        <v/>
      </c>
    </row>
  </sheetData>
  <conditionalFormatting sqref="I5:I29">
    <cfRule type="expression" priority="1" dxfId="1">
      <formula>I5="NO EJECUTAR"</formula>
    </cfRule>
  </conditionalFormatting>
  <dataValidations count="1">
    <dataValidation sqref="G5 G6 G7 G8 G9 G10 G11 G12 G13 G14 G15 G16 G17 G18 G19 G20 G21 G22 G23 G24 G25 G26 G27 G28 G29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2026-10-04T16:26:36Z</dcterms:created>
  <dcterms:modified xsi:type="dcterms:W3CDTF">2026-10-04T16:28:56Z</dcterms:modified>
</cp:coreProperties>
</file>