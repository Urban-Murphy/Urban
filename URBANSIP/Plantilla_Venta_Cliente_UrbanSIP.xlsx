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enta" sheetId="1" state="visible" r:id="rId1"/>
    <sheet name="Cambios" sheetId="2" state="visible" r:id="rId2"/>
    <sheet name="Opcionales" sheetId="3" state="visible" r:id="rId3"/>
    <sheet name="Flujo de fondos" sheetId="4" state="visible" r:id="rId4"/>
  </sheets>
  <definedNames/>
  <calcPr calcId="124519" fullCalcOnLoad="1"/>
</workbook>
</file>

<file path=xl/styles.xml><?xml version="1.0" encoding="utf-8"?>
<styleSheet xmlns="http://schemas.openxmlformats.org/spreadsheetml/2006/main">
  <numFmts count="2">
    <numFmt numFmtId="164" formatCode="0.0%"/>
    <numFmt numFmtId="165" formatCode="&quot;USD &quot;#,##0;[Red]&quot;USD &quot;-#,##0"/>
  </numFmts>
  <fonts count="7">
    <font>
      <name val="Calibri"/>
      <family val="2"/>
      <color theme="1"/>
      <sz val="11"/>
      <scheme val="minor"/>
    </font>
    <font>
      <b val="1"/>
      <sz val="14"/>
    </font>
    <font>
      <i val="1"/>
      <color rgb="007F7F7F"/>
    </font>
    <font>
      <b val="1"/>
    </font>
    <font>
      <b val="1"/>
      <color rgb="00FFFFFF"/>
    </font>
    <font>
      <b val="1"/>
      <sz val="13"/>
    </font>
    <font>
      <i val="1"/>
    </font>
  </fonts>
  <fills count="5">
    <fill>
      <patternFill/>
    </fill>
    <fill>
      <patternFill patternType="gray125"/>
    </fill>
    <fill>
      <patternFill patternType="solid">
        <fgColor rgb="00FFF2CC"/>
      </patternFill>
    </fill>
    <fill>
      <patternFill patternType="solid">
        <fgColor rgb="00E2EFDA"/>
      </patternFill>
    </fill>
    <fill>
      <patternFill patternType="solid">
        <fgColor rgb="002F5233"/>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21">
    <xf numFmtId="0" fontId="0" fillId="0" borderId="0" pivotButton="0" quotePrefix="0" xfId="0"/>
    <xf numFmtId="0" fontId="1" fillId="0" borderId="0" pivotButton="0" quotePrefix="0" xfId="0"/>
    <xf numFmtId="0" fontId="0" fillId="2" borderId="0" pivotButton="0" quotePrefix="0" xfId="0"/>
    <xf numFmtId="0" fontId="2" fillId="0" borderId="0" pivotButton="0" quotePrefix="0" xfId="0"/>
    <xf numFmtId="164" fontId="0" fillId="2" borderId="0" pivotButton="0" quotePrefix="0" xfId="0"/>
    <xf numFmtId="0" fontId="3" fillId="0" borderId="0" pivotButton="0" quotePrefix="0" xfId="0"/>
    <xf numFmtId="165" fontId="0" fillId="0" borderId="0" pivotButton="0" quotePrefix="0" xfId="0"/>
    <xf numFmtId="165" fontId="3" fillId="3" borderId="0" pivotButton="0" quotePrefix="0" xfId="0"/>
    <xf numFmtId="0" fontId="4" fillId="4" borderId="1" applyAlignment="1" pivotButton="0" quotePrefix="0" xfId="0">
      <alignment vertical="top" wrapText="1"/>
    </xf>
    <xf numFmtId="0" fontId="0" fillId="0" borderId="1" applyAlignment="1" pivotButton="0" quotePrefix="0" xfId="0">
      <alignment vertical="top" wrapText="1"/>
    </xf>
    <xf numFmtId="9" fontId="0" fillId="0" borderId="1" applyAlignment="1" pivotButton="0" quotePrefix="0" xfId="0">
      <alignment vertical="top" wrapText="1"/>
    </xf>
    <xf numFmtId="165" fontId="0" fillId="0" borderId="1" applyAlignment="1" pivotButton="0" quotePrefix="0" xfId="0">
      <alignment vertical="top" wrapText="1"/>
    </xf>
    <xf numFmtId="0" fontId="0" fillId="2" borderId="1" applyAlignment="1" pivotButton="0" quotePrefix="0" xfId="0">
      <alignment vertical="top" wrapText="1"/>
    </xf>
    <xf numFmtId="0" fontId="0" fillId="0" borderId="0" applyAlignment="1" pivotButton="0" quotePrefix="0" xfId="0">
      <alignment wrapText="1"/>
    </xf>
    <xf numFmtId="0" fontId="5" fillId="0" borderId="0" pivotButton="0" quotePrefix="0" xfId="0"/>
    <xf numFmtId="165" fontId="0" fillId="2" borderId="1" applyAlignment="1" pivotButton="0" quotePrefix="0" xfId="0">
      <alignment vertical="top" wrapText="1"/>
    </xf>
    <xf numFmtId="9" fontId="0" fillId="2" borderId="0" pivotButton="0" quotePrefix="0" xfId="0"/>
    <xf numFmtId="164" fontId="0" fillId="0" borderId="0" pivotButton="0" quotePrefix="0" xfId="0"/>
    <xf numFmtId="0" fontId="3" fillId="0" borderId="1" applyAlignment="1" pivotButton="0" quotePrefix="0" xfId="0">
      <alignment vertical="top" wrapText="1"/>
    </xf>
    <xf numFmtId="165" fontId="0" fillId="3" borderId="1"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cols>
    <col width="40" customWidth="1" min="1" max="1"/>
    <col width="30" customWidth="1" min="2" max="2"/>
    <col width="18" customWidth="1" min="3" max="3"/>
    <col width="16" customWidth="1" min="4" max="4"/>
    <col width="12" customWidth="1" min="5" max="5"/>
  </cols>
  <sheetData>
    <row r="1">
      <c r="A1" s="1" t="inlineStr">
        <is>
          <t>URBANSIP · Venta a cliente (plantilla)</t>
        </is>
      </c>
    </row>
    <row r="2">
      <c r="A2" t="inlineStr">
        <is>
          <t>Copiar este archivo por cada venta: obras/&lt;MODELO&gt;-&lt;CLIENTE&gt;/. Amarillo = completar.</t>
        </is>
      </c>
    </row>
    <row r="4">
      <c r="A4" t="inlineStr">
        <is>
          <t>Cliente</t>
        </is>
      </c>
      <c r="B4" s="2" t="inlineStr"/>
    </row>
    <row r="5">
      <c r="A5" t="inlineStr">
        <is>
          <t>Lote / dirección</t>
        </is>
      </c>
      <c r="B5" s="2" t="inlineStr"/>
    </row>
    <row r="6">
      <c r="A6" t="inlineStr">
        <is>
          <t>Localidad</t>
        </is>
      </c>
      <c r="B6" s="2" t="inlineStr"/>
    </row>
    <row r="7">
      <c r="A7" t="inlineStr">
        <is>
          <t>Distancia desde Ituzaingó (km)</t>
        </is>
      </c>
      <c r="B7" s="2" t="n">
        <v>30</v>
      </c>
    </row>
    <row r="8">
      <c r="A8" t="inlineStr">
        <is>
          <t>Modelo</t>
        </is>
      </c>
      <c r="B8" s="2" t="inlineStr">
        <is>
          <t>Aura</t>
        </is>
      </c>
    </row>
    <row r="9">
      <c r="A9" t="inlineStr">
        <is>
          <t>Versión</t>
        </is>
      </c>
      <c r="B9" s="2" t="inlineStr">
        <is>
          <t>Esencial</t>
        </is>
      </c>
    </row>
    <row r="10">
      <c r="A10" t="inlineStr">
        <is>
          <t>Versión de precios del modelo</t>
        </is>
      </c>
      <c r="B10" s="2" t="inlineStr">
        <is>
          <t>Aura Esencial v1 · precios al 30/09/26</t>
        </is>
      </c>
    </row>
    <row r="11">
      <c r="A11" t="inlineStr">
        <is>
          <t>Superficie cubierta (m²)</t>
        </is>
      </c>
      <c r="B11" s="2" t="n">
        <v>73</v>
      </c>
    </row>
    <row r="12">
      <c r="A12" t="inlineStr">
        <is>
          <t>Precio por m² del modelo (USD)</t>
        </is>
      </c>
      <c r="B12" s="2" t="n">
        <v>1200</v>
      </c>
      <c r="C12" s="3" t="inlineStr">
        <is>
          <t>Esencial 1.200 · Confort 1.500 (ficha)</t>
        </is>
      </c>
    </row>
    <row r="13">
      <c r="A13" t="inlineStr">
        <is>
          <t>Fecha de la propuesta</t>
        </is>
      </c>
      <c r="B13" s="2" t="inlineStr"/>
    </row>
    <row r="14">
      <c r="A14" t="inlineStr">
        <is>
          <t>Vendedor</t>
        </is>
      </c>
      <c r="B14" s="2" t="inlineStr"/>
    </row>
    <row r="15">
      <c r="A15" t="inlineStr">
        <is>
          <t>Comisión vendedor</t>
        </is>
      </c>
      <c r="B15" s="4" t="n">
        <v>0.025</v>
      </c>
    </row>
    <row r="16">
      <c r="A16" t="inlineStr">
        <is>
          <t>Comisión José Luis</t>
        </is>
      </c>
      <c r="B16" s="4" t="n">
        <v>0.01</v>
      </c>
    </row>
    <row r="18">
      <c r="A18" s="5" t="inlineStr">
        <is>
          <t>PRECIO</t>
        </is>
      </c>
    </row>
    <row r="19">
      <c r="A19" t="inlineStr">
        <is>
          <t>Precio del modelo</t>
        </is>
      </c>
      <c r="B19" s="6">
        <f>B11*B12</f>
        <v/>
      </c>
    </row>
    <row r="20">
      <c r="A20" t="inlineStr">
        <is>
          <t>Cambios aprobados (hoja Cambios)</t>
        </is>
      </c>
      <c r="B20" s="6">
        <f>Cambios!H40</f>
        <v/>
      </c>
    </row>
    <row r="21">
      <c r="A21" s="5" t="inlineStr">
        <is>
          <t>PRECIO FINAL</t>
        </is>
      </c>
      <c r="B21" s="7">
        <f>B19+B20</f>
        <v/>
      </c>
    </row>
    <row r="22">
      <c r="A22" t="inlineStr">
        <is>
          <t>Precio final por m²</t>
        </is>
      </c>
      <c r="B22" s="6">
        <f>B21/B11</f>
        <v/>
      </c>
    </row>
    <row r="23">
      <c r="A23" t="inlineStr">
        <is>
          <t>Comisiones (USD)</t>
        </is>
      </c>
      <c r="B23" s="6">
        <f>B21*(B15+B16)</f>
        <v/>
      </c>
    </row>
    <row r="25">
      <c r="A25" s="5" t="inlineStr">
        <is>
          <t>FORMA DE PAGO (ficha)</t>
        </is>
      </c>
    </row>
    <row r="26">
      <c r="A26" s="8" t="inlineStr">
        <is>
          <t>Hito</t>
        </is>
      </c>
      <c r="B26" s="8" t="inlineStr">
        <is>
          <t>%</t>
        </is>
      </c>
      <c r="C26" s="8" t="inlineStr">
        <is>
          <t>Monto (USD)</t>
        </is>
      </c>
      <c r="D26" s="8" t="inlineStr">
        <is>
          <t>Fecha prevista</t>
        </is>
      </c>
      <c r="E26" s="8" t="inlineStr">
        <is>
          <t>Cobrado</t>
        </is>
      </c>
    </row>
    <row r="27">
      <c r="A27" s="9" t="inlineStr">
        <is>
          <t>Contratación</t>
        </is>
      </c>
      <c r="B27" s="10" t="n">
        <v>0.1</v>
      </c>
      <c r="C27" s="11">
        <f>$B$21*B27</f>
        <v/>
      </c>
      <c r="D27" s="12" t="n"/>
      <c r="E27" s="12" t="n"/>
    </row>
    <row r="28">
      <c r="A28" s="9" t="inlineStr">
        <is>
          <t>Inicio de ejecución</t>
        </is>
      </c>
      <c r="B28" s="10" t="n">
        <v>0.5</v>
      </c>
      <c r="C28" s="11">
        <f>$B$21*B28</f>
        <v/>
      </c>
      <c r="D28" s="12" t="n"/>
      <c r="E28" s="12" t="n"/>
    </row>
    <row r="29">
      <c r="A29" s="9" t="inlineStr">
        <is>
          <t>Avance 1 (fundación + kit montado)</t>
        </is>
      </c>
      <c r="B29" s="10" t="n">
        <v>0.15</v>
      </c>
      <c r="C29" s="11">
        <f>$B$21*B29</f>
        <v/>
      </c>
      <c r="D29" s="12" t="n"/>
      <c r="E29" s="12" t="n"/>
    </row>
    <row r="30">
      <c r="A30" s="9" t="inlineStr">
        <is>
          <t>Avance 2 (obra gris + instalaciones)</t>
        </is>
      </c>
      <c r="B30" s="10" t="n">
        <v>0.1</v>
      </c>
      <c r="C30" s="11">
        <f>$B$21*B30</f>
        <v/>
      </c>
      <c r="D30" s="12" t="n"/>
      <c r="E30" s="12" t="n"/>
    </row>
    <row r="31">
      <c r="A31" s="9" t="inlineStr">
        <is>
          <t>Avance 3 (terminaciones)</t>
        </is>
      </c>
      <c r="B31" s="10" t="n">
        <v>0.1</v>
      </c>
      <c r="C31" s="11">
        <f>$B$21*B31</f>
        <v/>
      </c>
      <c r="D31" s="12" t="n"/>
      <c r="E31" s="12" t="n"/>
    </row>
    <row r="32">
      <c r="A32" s="9" t="inlineStr">
        <is>
          <t>Entrega</t>
        </is>
      </c>
      <c r="B32" s="10" t="n">
        <v>0.05</v>
      </c>
      <c r="C32" s="11">
        <f>$B$21*B32</f>
        <v/>
      </c>
      <c r="D32" s="12" t="n"/>
      <c r="E32" s="12" t="n"/>
    </row>
    <row r="33">
      <c r="A33" s="9" t="inlineStr">
        <is>
          <t>Total</t>
        </is>
      </c>
      <c r="B33" s="10">
        <f>SUM(B27:B32)</f>
        <v/>
      </c>
      <c r="C33" s="11">
        <f>SUM(C27:C32)</f>
        <v/>
      </c>
      <c r="D33" s="9" t="n"/>
      <c r="E33" s="9" t="n"/>
    </row>
    <row r="35" ht="45" customHeight="1">
      <c r="A35" s="13" t="inlineStr">
        <is>
          <t>Cláusula sugerida: "Precio del modelo {Modelo} {Versión}, con precios al {fecha}. Todo cambio se cotiza aparte y se aprueba por escrito, con su precio, antes de ejecutarse."</t>
        </is>
      </c>
    </row>
  </sheetData>
  <mergeCells count="1">
    <mergeCell ref="A35:E35"/>
  </mergeCells>
  <dataValidations count="1">
    <dataValidation sqref="B9" showDropDown="0" showInputMessage="0" showErrorMessage="0" allowBlank="0" type="list">
      <formula1>"Esencial,Confort"</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0"/>
  <sheetViews>
    <sheetView workbookViewId="0">
      <pane ySplit="4" topLeftCell="A5" activePane="bottomLeft" state="frozen"/>
      <selection pane="bottomLeft" activeCell="A1" sqref="A1"/>
    </sheetView>
  </sheetViews>
  <sheetFormatPr baseColWidth="8" defaultRowHeight="15"/>
  <cols>
    <col width="4" customWidth="1" min="1" max="1"/>
    <col width="11" customWidth="1" min="2" max="2"/>
    <col width="46" customWidth="1" min="3" max="3"/>
    <col width="6" customWidth="1" min="4" max="4"/>
    <col width="9" customWidth="1" min="5" max="5"/>
    <col width="14" customWidth="1" min="6" max="6"/>
    <col width="14" customWidth="1" min="7" max="7"/>
    <col width="14" customWidth="1" min="8" max="8"/>
    <col width="10" customWidth="1" min="9" max="9"/>
    <col width="13" customWidth="1" min="10" max="10"/>
    <col width="30" customWidth="1" min="11" max="11"/>
  </cols>
  <sheetData>
    <row r="1">
      <c r="A1" s="14" t="inlineStr">
        <is>
          <t>Planilla de cambios del cliente</t>
        </is>
      </c>
    </row>
    <row r="2">
      <c r="A2" t="inlineStr">
        <is>
          <t>Regla: solo suma al precio lo que tiene 'Sí' en Aprobado, con fecha. Precios de la hoja Opcionales o cotización particular.</t>
        </is>
      </c>
    </row>
    <row r="4">
      <c r="A4" s="8" t="inlineStr">
        <is>
          <t>#</t>
        </is>
      </c>
      <c r="B4" s="8" t="inlineStr">
        <is>
          <t>Tipo</t>
        </is>
      </c>
      <c r="C4" s="8" t="inlineStr">
        <is>
          <t>Descripción</t>
        </is>
      </c>
      <c r="D4" s="8" t="inlineStr">
        <is>
          <t>Un.</t>
        </is>
      </c>
      <c r="E4" s="8" t="inlineStr">
        <is>
          <t>Cantidad</t>
        </is>
      </c>
      <c r="F4" s="8" t="inlineStr">
        <is>
          <t>Precio unit. (USD)</t>
        </is>
      </c>
      <c r="G4" s="8" t="inlineStr">
        <is>
          <t>Total (USD)</t>
        </is>
      </c>
      <c r="H4" s="8" t="inlineStr">
        <is>
          <t>Total aprobado (USD)</t>
        </is>
      </c>
      <c r="I4" s="8" t="inlineStr">
        <is>
          <t>Aprobado (Sí/No)</t>
        </is>
      </c>
      <c r="J4" s="8" t="inlineStr">
        <is>
          <t>Fecha aprobación</t>
        </is>
      </c>
      <c r="K4" s="8" t="inlineStr">
        <is>
          <t>Observación</t>
        </is>
      </c>
    </row>
    <row r="5">
      <c r="A5" s="9" t="n">
        <v>1</v>
      </c>
      <c r="B5" s="12" t="inlineStr">
        <is>
          <t>Terreno</t>
        </is>
      </c>
      <c r="C5" s="12" t="inlineStr">
        <is>
          <t>Flete adicional por distancia (más de 50 km)</t>
        </is>
      </c>
      <c r="D5" s="12" t="inlineStr">
        <is>
          <t>km</t>
        </is>
      </c>
      <c r="E5" s="12">
        <f>MAX(0,Venta!B7-50)</f>
        <v/>
      </c>
      <c r="F5" s="15">
        <f>Opcionales!D5</f>
        <v/>
      </c>
      <c r="G5" s="11">
        <f>IF(E5="","",E5*F5)</f>
        <v/>
      </c>
      <c r="H5" s="11">
        <f>IF(I5="Sí",N(G5),0)</f>
        <v/>
      </c>
      <c r="I5" s="12" t="inlineStr">
        <is>
          <t>No</t>
        </is>
      </c>
      <c r="J5" s="12" t="n"/>
      <c r="K5" s="12" t="n"/>
    </row>
    <row r="6">
      <c r="A6" s="9" t="n">
        <v>2</v>
      </c>
      <c r="B6" s="12" t="inlineStr">
        <is>
          <t>Opcional</t>
        </is>
      </c>
      <c r="C6" s="12" t="inlineStr">
        <is>
          <t>Semicubierto / galería</t>
        </is>
      </c>
      <c r="D6" s="12" t="inlineStr">
        <is>
          <t>m²</t>
        </is>
      </c>
      <c r="E6" s="12" t="n">
        <v>0</v>
      </c>
      <c r="F6" s="15">
        <f>Opcionales!D6</f>
        <v/>
      </c>
      <c r="G6" s="11">
        <f>IF(E6="","",E6*F6)</f>
        <v/>
      </c>
      <c r="H6" s="11">
        <f>IF(I6="Sí",N(G6),0)</f>
        <v/>
      </c>
      <c r="I6" s="12" t="inlineStr">
        <is>
          <t>No</t>
        </is>
      </c>
      <c r="J6" s="12" t="n"/>
      <c r="K6" s="12" t="n"/>
    </row>
    <row r="7">
      <c r="A7" s="9" t="n">
        <v>3</v>
      </c>
      <c r="B7" s="12" t="inlineStr">
        <is>
          <t>Terreno</t>
        </is>
      </c>
      <c r="C7" s="12" t="inlineStr">
        <is>
          <t>Diferencia por fundación especial (según estudio de suelos)</t>
        </is>
      </c>
      <c r="D7" s="12" t="inlineStr">
        <is>
          <t>gl</t>
        </is>
      </c>
      <c r="E7" s="12" t="n">
        <v>0</v>
      </c>
      <c r="F7" s="15" t="n">
        <v>0</v>
      </c>
      <c r="G7" s="11">
        <f>IF(E7="","",E7*F7)</f>
        <v/>
      </c>
      <c r="H7" s="11">
        <f>IF(I7="Sí",N(G7),0)</f>
        <v/>
      </c>
      <c r="I7" s="12" t="inlineStr">
        <is>
          <t>No</t>
        </is>
      </c>
      <c r="J7" s="12" t="n"/>
      <c r="K7" s="12" t="n"/>
    </row>
    <row r="8">
      <c r="A8" s="9" t="n">
        <v>4</v>
      </c>
      <c r="B8" s="12" t="n"/>
      <c r="C8" s="12" t="n"/>
      <c r="D8" s="12" t="n"/>
      <c r="E8" s="12" t="n"/>
      <c r="F8" s="15" t="n"/>
      <c r="G8" s="11">
        <f>IF(E8="","",E8*F8)</f>
        <v/>
      </c>
      <c r="H8" s="11">
        <f>IF(I8="Sí",N(G8),0)</f>
        <v/>
      </c>
      <c r="I8" s="12" t="n"/>
      <c r="J8" s="12" t="n"/>
      <c r="K8" s="12" t="n"/>
    </row>
    <row r="9">
      <c r="A9" s="9" t="n">
        <v>5</v>
      </c>
      <c r="B9" s="12" t="n"/>
      <c r="C9" s="12" t="n"/>
      <c r="D9" s="12" t="n"/>
      <c r="E9" s="12" t="n"/>
      <c r="F9" s="15" t="n"/>
      <c r="G9" s="11">
        <f>IF(E9="","",E9*F9)</f>
        <v/>
      </c>
      <c r="H9" s="11">
        <f>IF(I9="Sí",N(G9),0)</f>
        <v/>
      </c>
      <c r="I9" s="12" t="n"/>
      <c r="J9" s="12" t="n"/>
      <c r="K9" s="12" t="n"/>
    </row>
    <row r="10">
      <c r="A10" s="9" t="n">
        <v>6</v>
      </c>
      <c r="B10" s="12" t="n"/>
      <c r="C10" s="12" t="n"/>
      <c r="D10" s="12" t="n"/>
      <c r="E10" s="12" t="n"/>
      <c r="F10" s="15" t="n"/>
      <c r="G10" s="11">
        <f>IF(E10="","",E10*F10)</f>
        <v/>
      </c>
      <c r="H10" s="11">
        <f>IF(I10="Sí",N(G10),0)</f>
        <v/>
      </c>
      <c r="I10" s="12" t="n"/>
      <c r="J10" s="12" t="n"/>
      <c r="K10" s="12" t="n"/>
    </row>
    <row r="11">
      <c r="A11" s="9" t="n">
        <v>7</v>
      </c>
      <c r="B11" s="12" t="n"/>
      <c r="C11" s="12" t="n"/>
      <c r="D11" s="12" t="n"/>
      <c r="E11" s="12" t="n"/>
      <c r="F11" s="15" t="n"/>
      <c r="G11" s="11">
        <f>IF(E11="","",E11*F11)</f>
        <v/>
      </c>
      <c r="H11" s="11">
        <f>IF(I11="Sí",N(G11),0)</f>
        <v/>
      </c>
      <c r="I11" s="12" t="n"/>
      <c r="J11" s="12" t="n"/>
      <c r="K11" s="12" t="n"/>
    </row>
    <row r="12">
      <c r="A12" s="9" t="n">
        <v>8</v>
      </c>
      <c r="B12" s="12" t="n"/>
      <c r="C12" s="12" t="n"/>
      <c r="D12" s="12" t="n"/>
      <c r="E12" s="12" t="n"/>
      <c r="F12" s="15" t="n"/>
      <c r="G12" s="11">
        <f>IF(E12="","",E12*F12)</f>
        <v/>
      </c>
      <c r="H12" s="11">
        <f>IF(I12="Sí",N(G12),0)</f>
        <v/>
      </c>
      <c r="I12" s="12" t="n"/>
      <c r="J12" s="12" t="n"/>
      <c r="K12" s="12" t="n"/>
    </row>
    <row r="13">
      <c r="A13" s="9" t="n">
        <v>9</v>
      </c>
      <c r="B13" s="12" t="n"/>
      <c r="C13" s="12" t="n"/>
      <c r="D13" s="12" t="n"/>
      <c r="E13" s="12" t="n"/>
      <c r="F13" s="15" t="n"/>
      <c r="G13" s="11">
        <f>IF(E13="","",E13*F13)</f>
        <v/>
      </c>
      <c r="H13" s="11">
        <f>IF(I13="Sí",N(G13),0)</f>
        <v/>
      </c>
      <c r="I13" s="12" t="n"/>
      <c r="J13" s="12" t="n"/>
      <c r="K13" s="12" t="n"/>
    </row>
    <row r="14">
      <c r="A14" s="9" t="n">
        <v>10</v>
      </c>
      <c r="B14" s="12" t="n"/>
      <c r="C14" s="12" t="n"/>
      <c r="D14" s="12" t="n"/>
      <c r="E14" s="12" t="n"/>
      <c r="F14" s="15" t="n"/>
      <c r="G14" s="11">
        <f>IF(E14="","",E14*F14)</f>
        <v/>
      </c>
      <c r="H14" s="11">
        <f>IF(I14="Sí",N(G14),0)</f>
        <v/>
      </c>
      <c r="I14" s="12" t="n"/>
      <c r="J14" s="12" t="n"/>
      <c r="K14" s="12" t="n"/>
    </row>
    <row r="15">
      <c r="A15" s="9" t="n">
        <v>11</v>
      </c>
      <c r="B15" s="12" t="n"/>
      <c r="C15" s="12" t="n"/>
      <c r="D15" s="12" t="n"/>
      <c r="E15" s="12" t="n"/>
      <c r="F15" s="15" t="n"/>
      <c r="G15" s="11">
        <f>IF(E15="","",E15*F15)</f>
        <v/>
      </c>
      <c r="H15" s="11">
        <f>IF(I15="Sí",N(G15),0)</f>
        <v/>
      </c>
      <c r="I15" s="12" t="n"/>
      <c r="J15" s="12" t="n"/>
      <c r="K15" s="12" t="n"/>
    </row>
    <row r="16">
      <c r="A16" s="9" t="n">
        <v>12</v>
      </c>
      <c r="B16" s="12" t="n"/>
      <c r="C16" s="12" t="n"/>
      <c r="D16" s="12" t="n"/>
      <c r="E16" s="12" t="n"/>
      <c r="F16" s="15" t="n"/>
      <c r="G16" s="11">
        <f>IF(E16="","",E16*F16)</f>
        <v/>
      </c>
      <c r="H16" s="11">
        <f>IF(I16="Sí",N(G16),0)</f>
        <v/>
      </c>
      <c r="I16" s="12" t="n"/>
      <c r="J16" s="12" t="n"/>
      <c r="K16" s="12" t="n"/>
    </row>
    <row r="17">
      <c r="A17" s="9" t="n">
        <v>13</v>
      </c>
      <c r="B17" s="12" t="n"/>
      <c r="C17" s="12" t="n"/>
      <c r="D17" s="12" t="n"/>
      <c r="E17" s="12" t="n"/>
      <c r="F17" s="15" t="n"/>
      <c r="G17" s="11">
        <f>IF(E17="","",E17*F17)</f>
        <v/>
      </c>
      <c r="H17" s="11">
        <f>IF(I17="Sí",N(G17),0)</f>
        <v/>
      </c>
      <c r="I17" s="12" t="n"/>
      <c r="J17" s="12" t="n"/>
      <c r="K17" s="12" t="n"/>
    </row>
    <row r="18">
      <c r="A18" s="9" t="n">
        <v>14</v>
      </c>
      <c r="B18" s="12" t="n"/>
      <c r="C18" s="12" t="n"/>
      <c r="D18" s="12" t="n"/>
      <c r="E18" s="12" t="n"/>
      <c r="F18" s="15" t="n"/>
      <c r="G18" s="11">
        <f>IF(E18="","",E18*F18)</f>
        <v/>
      </c>
      <c r="H18" s="11">
        <f>IF(I18="Sí",N(G18),0)</f>
        <v/>
      </c>
      <c r="I18" s="12" t="n"/>
      <c r="J18" s="12" t="n"/>
      <c r="K18" s="12" t="n"/>
    </row>
    <row r="19">
      <c r="A19" s="9" t="n">
        <v>15</v>
      </c>
      <c r="B19" s="12" t="n"/>
      <c r="C19" s="12" t="n"/>
      <c r="D19" s="12" t="n"/>
      <c r="E19" s="12" t="n"/>
      <c r="F19" s="15" t="n"/>
      <c r="G19" s="11">
        <f>IF(E19="","",E19*F19)</f>
        <v/>
      </c>
      <c r="H19" s="11">
        <f>IF(I19="Sí",N(G19),0)</f>
        <v/>
      </c>
      <c r="I19" s="12" t="n"/>
      <c r="J19" s="12" t="n"/>
      <c r="K19" s="12" t="n"/>
    </row>
    <row r="20">
      <c r="A20" s="9" t="n">
        <v>16</v>
      </c>
      <c r="B20" s="12" t="n"/>
      <c r="C20" s="12" t="n"/>
      <c r="D20" s="12" t="n"/>
      <c r="E20" s="12" t="n"/>
      <c r="F20" s="15" t="n"/>
      <c r="G20" s="11">
        <f>IF(E20="","",E20*F20)</f>
        <v/>
      </c>
      <c r="H20" s="11">
        <f>IF(I20="Sí",N(G20),0)</f>
        <v/>
      </c>
      <c r="I20" s="12" t="n"/>
      <c r="J20" s="12" t="n"/>
      <c r="K20" s="12" t="n"/>
    </row>
    <row r="21">
      <c r="A21" s="9" t="n">
        <v>17</v>
      </c>
      <c r="B21" s="12" t="n"/>
      <c r="C21" s="12" t="n"/>
      <c r="D21" s="12" t="n"/>
      <c r="E21" s="12" t="n"/>
      <c r="F21" s="15" t="n"/>
      <c r="G21" s="11">
        <f>IF(E21="","",E21*F21)</f>
        <v/>
      </c>
      <c r="H21" s="11">
        <f>IF(I21="Sí",N(G21),0)</f>
        <v/>
      </c>
      <c r="I21" s="12" t="n"/>
      <c r="J21" s="12" t="n"/>
      <c r="K21" s="12" t="n"/>
    </row>
    <row r="22">
      <c r="A22" s="9" t="n">
        <v>18</v>
      </c>
      <c r="B22" s="12" t="n"/>
      <c r="C22" s="12" t="n"/>
      <c r="D22" s="12" t="n"/>
      <c r="E22" s="12" t="n"/>
      <c r="F22" s="15" t="n"/>
      <c r="G22" s="11">
        <f>IF(E22="","",E22*F22)</f>
        <v/>
      </c>
      <c r="H22" s="11">
        <f>IF(I22="Sí",N(G22),0)</f>
        <v/>
      </c>
      <c r="I22" s="12" t="n"/>
      <c r="J22" s="12" t="n"/>
      <c r="K22" s="12" t="n"/>
    </row>
    <row r="23">
      <c r="A23" s="9" t="n">
        <v>19</v>
      </c>
      <c r="B23" s="12" t="n"/>
      <c r="C23" s="12" t="n"/>
      <c r="D23" s="12" t="n"/>
      <c r="E23" s="12" t="n"/>
      <c r="F23" s="15" t="n"/>
      <c r="G23" s="11">
        <f>IF(E23="","",E23*F23)</f>
        <v/>
      </c>
      <c r="H23" s="11">
        <f>IF(I23="Sí",N(G23),0)</f>
        <v/>
      </c>
      <c r="I23" s="12" t="n"/>
      <c r="J23" s="12" t="n"/>
      <c r="K23" s="12" t="n"/>
    </row>
    <row r="24">
      <c r="A24" s="9" t="n">
        <v>20</v>
      </c>
      <c r="B24" s="12" t="n"/>
      <c r="C24" s="12" t="n"/>
      <c r="D24" s="12" t="n"/>
      <c r="E24" s="12" t="n"/>
      <c r="F24" s="15" t="n"/>
      <c r="G24" s="11">
        <f>IF(E24="","",E24*F24)</f>
        <v/>
      </c>
      <c r="H24" s="11">
        <f>IF(I24="Sí",N(G24),0)</f>
        <v/>
      </c>
      <c r="I24" s="12" t="n"/>
      <c r="J24" s="12" t="n"/>
      <c r="K24" s="12" t="n"/>
    </row>
    <row r="25">
      <c r="A25" s="9" t="n">
        <v>21</v>
      </c>
      <c r="B25" s="12" t="n"/>
      <c r="C25" s="12" t="n"/>
      <c r="D25" s="12" t="n"/>
      <c r="E25" s="12" t="n"/>
      <c r="F25" s="15" t="n"/>
      <c r="G25" s="11">
        <f>IF(E25="","",E25*F25)</f>
        <v/>
      </c>
      <c r="H25" s="11">
        <f>IF(I25="Sí",N(G25),0)</f>
        <v/>
      </c>
      <c r="I25" s="12" t="n"/>
      <c r="J25" s="12" t="n"/>
      <c r="K25" s="12" t="n"/>
    </row>
    <row r="26">
      <c r="A26" s="9" t="n">
        <v>22</v>
      </c>
      <c r="B26" s="12" t="n"/>
      <c r="C26" s="12" t="n"/>
      <c r="D26" s="12" t="n"/>
      <c r="E26" s="12" t="n"/>
      <c r="F26" s="15" t="n"/>
      <c r="G26" s="11">
        <f>IF(E26="","",E26*F26)</f>
        <v/>
      </c>
      <c r="H26" s="11">
        <f>IF(I26="Sí",N(G26),0)</f>
        <v/>
      </c>
      <c r="I26" s="12" t="n"/>
      <c r="J26" s="12" t="n"/>
      <c r="K26" s="12" t="n"/>
    </row>
    <row r="27">
      <c r="A27" s="9" t="n">
        <v>23</v>
      </c>
      <c r="B27" s="12" t="n"/>
      <c r="C27" s="12" t="n"/>
      <c r="D27" s="12" t="n"/>
      <c r="E27" s="12" t="n"/>
      <c r="F27" s="15" t="n"/>
      <c r="G27" s="11">
        <f>IF(E27="","",E27*F27)</f>
        <v/>
      </c>
      <c r="H27" s="11">
        <f>IF(I27="Sí",N(G27),0)</f>
        <v/>
      </c>
      <c r="I27" s="12" t="n"/>
      <c r="J27" s="12" t="n"/>
      <c r="K27" s="12" t="n"/>
    </row>
    <row r="28">
      <c r="A28" s="9" t="n">
        <v>24</v>
      </c>
      <c r="B28" s="12" t="n"/>
      <c r="C28" s="12" t="n"/>
      <c r="D28" s="12" t="n"/>
      <c r="E28" s="12" t="n"/>
      <c r="F28" s="15" t="n"/>
      <c r="G28" s="11">
        <f>IF(E28="","",E28*F28)</f>
        <v/>
      </c>
      <c r="H28" s="11">
        <f>IF(I28="Sí",N(G28),0)</f>
        <v/>
      </c>
      <c r="I28" s="12" t="n"/>
      <c r="J28" s="12" t="n"/>
      <c r="K28" s="12" t="n"/>
    </row>
    <row r="29">
      <c r="A29" s="9" t="n">
        <v>25</v>
      </c>
      <c r="B29" s="12" t="n"/>
      <c r="C29" s="12" t="n"/>
      <c r="D29" s="12" t="n"/>
      <c r="E29" s="12" t="n"/>
      <c r="F29" s="15" t="n"/>
      <c r="G29" s="11">
        <f>IF(E29="","",E29*F29)</f>
        <v/>
      </c>
      <c r="H29" s="11">
        <f>IF(I29="Sí",N(G29),0)</f>
        <v/>
      </c>
      <c r="I29" s="12" t="n"/>
      <c r="J29" s="12" t="n"/>
      <c r="K29" s="12" t="n"/>
    </row>
    <row r="30">
      <c r="A30" s="9" t="n">
        <v>26</v>
      </c>
      <c r="B30" s="12" t="n"/>
      <c r="C30" s="12" t="n"/>
      <c r="D30" s="12" t="n"/>
      <c r="E30" s="12" t="n"/>
      <c r="F30" s="15" t="n"/>
      <c r="G30" s="11">
        <f>IF(E30="","",E30*F30)</f>
        <v/>
      </c>
      <c r="H30" s="11">
        <f>IF(I30="Sí",N(G30),0)</f>
        <v/>
      </c>
      <c r="I30" s="12" t="n"/>
      <c r="J30" s="12" t="n"/>
      <c r="K30" s="12" t="n"/>
    </row>
    <row r="31">
      <c r="A31" s="9" t="n">
        <v>27</v>
      </c>
      <c r="B31" s="12" t="n"/>
      <c r="C31" s="12" t="n"/>
      <c r="D31" s="12" t="n"/>
      <c r="E31" s="12" t="n"/>
      <c r="F31" s="15" t="n"/>
      <c r="G31" s="11">
        <f>IF(E31="","",E31*F31)</f>
        <v/>
      </c>
      <c r="H31" s="11">
        <f>IF(I31="Sí",N(G31),0)</f>
        <v/>
      </c>
      <c r="I31" s="12" t="n"/>
      <c r="J31" s="12" t="n"/>
      <c r="K31" s="12" t="n"/>
    </row>
    <row r="32">
      <c r="A32" s="9" t="n">
        <v>28</v>
      </c>
      <c r="B32" s="12" t="n"/>
      <c r="C32" s="12" t="n"/>
      <c r="D32" s="12" t="n"/>
      <c r="E32" s="12" t="n"/>
      <c r="F32" s="15" t="n"/>
      <c r="G32" s="11">
        <f>IF(E32="","",E32*F32)</f>
        <v/>
      </c>
      <c r="H32" s="11">
        <f>IF(I32="Sí",N(G32),0)</f>
        <v/>
      </c>
      <c r="I32" s="12" t="n"/>
      <c r="J32" s="12" t="n"/>
      <c r="K32" s="12" t="n"/>
    </row>
    <row r="33">
      <c r="A33" s="9" t="n">
        <v>29</v>
      </c>
      <c r="B33" s="12" t="n"/>
      <c r="C33" s="12" t="n"/>
      <c r="D33" s="12" t="n"/>
      <c r="E33" s="12" t="n"/>
      <c r="F33" s="15" t="n"/>
      <c r="G33" s="11">
        <f>IF(E33="","",E33*F33)</f>
        <v/>
      </c>
      <c r="H33" s="11">
        <f>IF(I33="Sí",N(G33),0)</f>
        <v/>
      </c>
      <c r="I33" s="12" t="n"/>
      <c r="J33" s="12" t="n"/>
      <c r="K33" s="12" t="n"/>
    </row>
    <row r="34">
      <c r="A34" s="9" t="n">
        <v>30</v>
      </c>
      <c r="B34" s="12" t="n"/>
      <c r="C34" s="12" t="n"/>
      <c r="D34" s="12" t="n"/>
      <c r="E34" s="12" t="n"/>
      <c r="F34" s="15" t="n"/>
      <c r="G34" s="11">
        <f>IF(E34="","",E34*F34)</f>
        <v/>
      </c>
      <c r="H34" s="11">
        <f>IF(I34="Sí",N(G34),0)</f>
        <v/>
      </c>
      <c r="I34" s="12" t="n"/>
      <c r="J34" s="12" t="n"/>
      <c r="K34" s="12" t="n"/>
    </row>
    <row r="35">
      <c r="A35" s="9" t="n">
        <v>31</v>
      </c>
      <c r="B35" s="12" t="n"/>
      <c r="C35" s="12" t="n"/>
      <c r="D35" s="12" t="n"/>
      <c r="E35" s="12" t="n"/>
      <c r="F35" s="15" t="n"/>
      <c r="G35" s="11">
        <f>IF(E35="","",E35*F35)</f>
        <v/>
      </c>
      <c r="H35" s="11">
        <f>IF(I35="Sí",N(G35),0)</f>
        <v/>
      </c>
      <c r="I35" s="12" t="n"/>
      <c r="J35" s="12" t="n"/>
      <c r="K35" s="12" t="n"/>
    </row>
    <row r="36">
      <c r="A36" s="9" t="n">
        <v>32</v>
      </c>
      <c r="B36" s="12" t="n"/>
      <c r="C36" s="12" t="n"/>
      <c r="D36" s="12" t="n"/>
      <c r="E36" s="12" t="n"/>
      <c r="F36" s="15" t="n"/>
      <c r="G36" s="11">
        <f>IF(E36="","",E36*F36)</f>
        <v/>
      </c>
      <c r="H36" s="11">
        <f>IF(I36="Sí",N(G36),0)</f>
        <v/>
      </c>
      <c r="I36" s="12" t="n"/>
      <c r="J36" s="12" t="n"/>
      <c r="K36" s="12" t="n"/>
    </row>
    <row r="37">
      <c r="A37" s="9" t="n">
        <v>33</v>
      </c>
      <c r="B37" s="12" t="n"/>
      <c r="C37" s="12" t="n"/>
      <c r="D37" s="12" t="n"/>
      <c r="E37" s="12" t="n"/>
      <c r="F37" s="15" t="n"/>
      <c r="G37" s="11">
        <f>IF(E37="","",E37*F37)</f>
        <v/>
      </c>
      <c r="H37" s="11">
        <f>IF(I37="Sí",N(G37),0)</f>
        <v/>
      </c>
      <c r="I37" s="12" t="n"/>
      <c r="J37" s="12" t="n"/>
      <c r="K37" s="12" t="n"/>
    </row>
    <row r="38">
      <c r="A38" s="9" t="n">
        <v>34</v>
      </c>
      <c r="B38" s="12" t="n"/>
      <c r="C38" s="12" t="n"/>
      <c r="D38" s="12" t="n"/>
      <c r="E38" s="12" t="n"/>
      <c r="F38" s="15" t="n"/>
      <c r="G38" s="11">
        <f>IF(E38="","",E38*F38)</f>
        <v/>
      </c>
      <c r="H38" s="11">
        <f>IF(I38="Sí",N(G38),0)</f>
        <v/>
      </c>
      <c r="I38" s="12" t="n"/>
      <c r="J38" s="12" t="n"/>
      <c r="K38" s="12" t="n"/>
    </row>
    <row r="39">
      <c r="A39" s="9" t="n">
        <v>35</v>
      </c>
      <c r="B39" s="12" t="n"/>
      <c r="C39" s="12" t="n"/>
      <c r="D39" s="12" t="n"/>
      <c r="E39" s="12" t="n"/>
      <c r="F39" s="15" t="n"/>
      <c r="G39" s="11">
        <f>IF(E39="","",E39*F39)</f>
        <v/>
      </c>
      <c r="H39" s="11">
        <f>IF(I39="Sí",N(G39),0)</f>
        <v/>
      </c>
      <c r="I39" s="12" t="n"/>
      <c r="J39" s="12" t="n"/>
      <c r="K39" s="12" t="n"/>
    </row>
    <row r="40">
      <c r="G40" s="5" t="inlineStr">
        <is>
          <t>TOTAL APROBADO</t>
        </is>
      </c>
      <c r="H40" s="7">
        <f>SUM(H5:H39)</f>
        <v/>
      </c>
    </row>
  </sheetData>
  <dataValidations count="2">
    <dataValidation sqref="B5 B6 B7 B8 B9 B10 B11 B12 B13 B14 B15 B16 B17 B18 B19 B20 B21 B22 B23 B24 B25 B26 B27 B28 B29 B30 B31 B32 B33 B34 B35 B36 B37 B38 B39" showDropDown="0" showInputMessage="0" showErrorMessage="0" allowBlank="0" type="list">
      <formula1>"Terreno,Opcional,Diseño"</formula1>
    </dataValidation>
    <dataValidation sqref="I5 I6 I7 I8 I9 I10 I11 I12 I13 I14 I15 I16 I17 I18 I19 I20 I21 I22 I23 I24 I25 I26 I27 I28 I29 I30 I31 I32 I33 I34 I35 I36 I37 I38 I39" showDropDown="0" showInputMessage="0" showErrorMessage="0" allowBlank="0" type="list">
      <formula1>"Sí,No"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cols>
    <col width="52" customWidth="1" min="1" max="1"/>
    <col width="6" customWidth="1" min="2" max="2"/>
    <col width="14" customWidth="1" min="3" max="3"/>
    <col width="16" customWidth="1" min="4" max="4"/>
    <col width="40" customWidth="1" min="5" max="5"/>
    <col width="18" customWidth="1" min="6" max="6"/>
    <col width="8" customWidth="1" min="7" max="7"/>
  </cols>
  <sheetData>
    <row r="1">
      <c r="A1" s="14" t="inlineStr">
        <is>
          <t>Opcionales de catálogo · precios de venta (USD)</t>
        </is>
      </c>
    </row>
    <row r="2">
      <c r="A2" t="inlineStr">
        <is>
          <t>Precio de venta = costo × (1 + recargo) ÷ (1 − comisiones). Recargo a definir por Adrián.</t>
        </is>
      </c>
      <c r="F2" t="inlineStr">
        <is>
          <t>Recargo sobre costo</t>
        </is>
      </c>
      <c r="G2" s="16" t="n">
        <v>0.25</v>
      </c>
    </row>
    <row r="3">
      <c r="F3" t="inlineStr">
        <is>
          <t>Comisiones</t>
        </is>
      </c>
      <c r="G3" s="17">
        <f>Venta!B15+Venta!B16</f>
        <v/>
      </c>
    </row>
    <row r="4">
      <c r="A4" s="8" t="inlineStr">
        <is>
          <t>Opcional</t>
        </is>
      </c>
      <c r="B4" s="8" t="inlineStr">
        <is>
          <t>Un.</t>
        </is>
      </c>
      <c r="C4" s="8" t="inlineStr">
        <is>
          <t>Costo (USD)</t>
        </is>
      </c>
      <c r="D4" s="8" t="inlineStr">
        <is>
          <t>Precio venta (USD)</t>
        </is>
      </c>
      <c r="E4" s="8" t="inlineStr">
        <is>
          <t>Fuente</t>
        </is>
      </c>
    </row>
    <row r="5">
      <c r="A5" s="9" t="inlineStr">
        <is>
          <t>Flete adicional por km (más de 50 km)</t>
        </is>
      </c>
      <c r="B5" s="9" t="inlineStr">
        <is>
          <t>km</t>
        </is>
      </c>
      <c r="C5" s="15" t="n"/>
      <c r="D5" s="15" t="n"/>
      <c r="E5" s="9" t="inlineStr">
        <is>
          <t>A definir con transportista</t>
        </is>
      </c>
    </row>
    <row r="6">
      <c r="A6" s="9" t="inlineStr">
        <is>
          <t>Semicubierto / galería</t>
        </is>
      </c>
      <c r="B6" s="9" t="inlineStr">
        <is>
          <t>m²</t>
        </is>
      </c>
      <c r="C6" s="15" t="n"/>
      <c r="D6" s="15" t="n">
        <v>600</v>
      </c>
      <c r="E6" s="9" t="inlineStr">
        <is>
          <t>Ficha: USD 600/m² (precio de venta directo)</t>
        </is>
      </c>
    </row>
    <row r="7">
      <c r="A7" s="9" t="inlineStr">
        <is>
          <t>Aberturas PVC + mosquiteros (en lugar de aluminio)</t>
        </is>
      </c>
      <c r="B7" s="9" t="inlineStr">
        <is>
          <t>gl</t>
        </is>
      </c>
      <c r="C7" s="15" t="n">
        <v>2260</v>
      </c>
      <c r="D7" s="11">
        <f>C7*(1+$G$2)/(1-$G$3)</f>
        <v/>
      </c>
      <c r="E7" s="9" t="inlineStr">
        <is>
          <t>Comparación Esencial vs Confort</t>
        </is>
      </c>
    </row>
    <row r="8">
      <c r="A8" s="9" t="inlineStr">
        <is>
          <t>Aires acondicionados instalados (3 equipos)</t>
        </is>
      </c>
      <c r="B8" s="9" t="inlineStr">
        <is>
          <t>gl</t>
        </is>
      </c>
      <c r="C8" s="15" t="n">
        <v>1740</v>
      </c>
      <c r="D8" s="11">
        <f>C8*(1+$G$2)/(1-$G$3)</f>
        <v/>
      </c>
      <c r="E8" s="9" t="inlineStr">
        <is>
          <t>Ídem</t>
        </is>
      </c>
    </row>
    <row r="9">
      <c r="A9" s="9" t="inlineStr">
        <is>
          <t>Anafe + horno empotrado (en lugar de cocina)</t>
        </is>
      </c>
      <c r="B9" s="9" t="inlineStr">
        <is>
          <t>gl</t>
        </is>
      </c>
      <c r="C9" s="15" t="n">
        <v>260</v>
      </c>
      <c r="D9" s="11">
        <f>C9*(1+$G$2)/(1-$G$3)</f>
        <v/>
      </c>
      <c r="E9" s="9" t="inlineStr">
        <is>
          <t>Ídem</t>
        </is>
      </c>
    </row>
    <row r="10">
      <c r="A10" s="9" t="inlineStr">
        <is>
          <t>Alacena de cocina</t>
        </is>
      </c>
      <c r="B10" s="9" t="inlineStr">
        <is>
          <t>gl</t>
        </is>
      </c>
      <c r="C10" s="15" t="n">
        <v>860</v>
      </c>
      <c r="D10" s="11">
        <f>C10*(1+$G$2)/(1-$G$3)</f>
        <v/>
      </c>
      <c r="E10" s="9" t="inlineStr">
        <is>
          <t>Ídem</t>
        </is>
      </c>
    </row>
    <row r="11">
      <c r="A11" s="9" t="inlineStr">
        <is>
          <t>Mesada de cuarzo</t>
        </is>
      </c>
      <c r="B11" s="9" t="inlineStr">
        <is>
          <t>gl</t>
        </is>
      </c>
      <c r="C11" s="15" t="n">
        <v>390</v>
      </c>
      <c r="D11" s="11">
        <f>C11*(1+$G$2)/(1-$G$3)</f>
        <v/>
      </c>
      <c r="E11" s="9" t="inlineStr">
        <is>
          <t>Ídem</t>
        </is>
      </c>
    </row>
    <row r="12">
      <c r="A12" s="9" t="inlineStr">
        <is>
          <t>Pack baño: espejo LED + mampara + accesorios + extractor</t>
        </is>
      </c>
      <c r="B12" s="9" t="inlineStr">
        <is>
          <t>gl</t>
        </is>
      </c>
      <c r="C12" s="15" t="n">
        <v>375</v>
      </c>
      <c r="D12" s="11">
        <f>C12*(1+$G$2)/(1-$G$3)</f>
        <v/>
      </c>
      <c r="E12" s="9" t="inlineStr">
        <is>
          <t>Ídem</t>
        </is>
      </c>
    </row>
    <row r="13">
      <c r="A13" s="9" t="inlineStr">
        <is>
          <t>Presurizadora</t>
        </is>
      </c>
      <c r="B13" s="9" t="inlineStr">
        <is>
          <t>gl</t>
        </is>
      </c>
      <c r="C13" s="15" t="n">
        <v>225</v>
      </c>
      <c r="D13" s="11">
        <f>C13*(1+$G$2)/(1-$G$3)</f>
        <v/>
      </c>
      <c r="E13" s="9" t="inlineStr">
        <is>
          <t>Ídem</t>
        </is>
      </c>
    </row>
    <row r="14">
      <c r="A14" s="9" t="inlineStr">
        <is>
          <t>Artefactos de iluminación</t>
        </is>
      </c>
      <c r="B14" s="9" t="inlineStr">
        <is>
          <t>gl</t>
        </is>
      </c>
      <c r="C14" s="15" t="n">
        <v>370</v>
      </c>
      <c r="D14" s="11">
        <f>C14*(1+$G$2)/(1-$G$3)</f>
        <v/>
      </c>
      <c r="E14" s="9" t="inlineStr">
        <is>
          <t>Ídem</t>
        </is>
      </c>
    </row>
    <row r="15">
      <c r="A15" s="9" t="inlineStr">
        <is>
          <t>Frentes de placard (2 dormitorios)</t>
        </is>
      </c>
      <c r="B15" s="9" t="inlineStr">
        <is>
          <t>gl</t>
        </is>
      </c>
      <c r="C15" s="15" t="n">
        <v>775</v>
      </c>
      <c r="D15" s="11">
        <f>C15*(1+$G$2)/(1-$G$3)</f>
        <v/>
      </c>
      <c r="E15" s="9" t="inlineStr">
        <is>
          <t>Ídem</t>
        </is>
      </c>
    </row>
    <row r="16">
      <c r="A16" s="9" t="inlineStr">
        <is>
          <t>Camino perimetral 0,80 m</t>
        </is>
      </c>
      <c r="B16" s="9" t="inlineStr">
        <is>
          <t>gl</t>
        </is>
      </c>
      <c r="C16" s="15" t="n">
        <v>1240</v>
      </c>
      <c r="D16" s="11">
        <f>C16*(1+$G$2)/(1-$G$3)</f>
        <v/>
      </c>
      <c r="E16" s="9" t="inlineStr">
        <is>
          <t>Ídem</t>
        </is>
      </c>
    </row>
    <row r="17">
      <c r="A17" s="9" t="inlineStr">
        <is>
          <t>Revestimiento plástico de fachada</t>
        </is>
      </c>
      <c r="B17" s="9" t="inlineStr">
        <is>
          <t>gl</t>
        </is>
      </c>
      <c r="C17" s="15" t="n">
        <v>775</v>
      </c>
      <c r="D17" s="11">
        <f>C17*(1+$G$2)/(1-$G$3)</f>
        <v/>
      </c>
      <c r="E17" s="9" t="inlineStr">
        <is>
          <t>Ídem</t>
        </is>
      </c>
    </row>
    <row r="18">
      <c r="A18" s="9" t="inlineStr">
        <is>
          <t>Porcelanato rectificado</t>
        </is>
      </c>
      <c r="B18" s="9" t="inlineStr">
        <is>
          <t>gl</t>
        </is>
      </c>
      <c r="C18" s="15" t="n">
        <v>620</v>
      </c>
      <c r="D18" s="11">
        <f>C18*(1+$G$2)/(1-$G$3)</f>
        <v/>
      </c>
      <c r="E18" s="9" t="inlineStr">
        <is>
          <t>Ídem</t>
        </is>
      </c>
    </row>
    <row r="19">
      <c r="A19" s="9" t="inlineStr">
        <is>
          <t>Instalación de gas</t>
        </is>
      </c>
      <c r="B19" s="9" t="inlineStr">
        <is>
          <t>gl</t>
        </is>
      </c>
      <c r="C19" s="15" t="n"/>
      <c r="D19" s="11" t="n"/>
      <c r="E19" s="9" t="inlineStr">
        <is>
          <t>Cotización particular (ficha)</t>
        </is>
      </c>
    </row>
    <row r="20">
      <c r="A20" s="9" t="inlineStr">
        <is>
          <t>Deck de madera</t>
        </is>
      </c>
      <c r="B20" s="9" t="inlineStr">
        <is>
          <t>m²</t>
        </is>
      </c>
      <c r="C20" s="15" t="n"/>
      <c r="D20" s="11" t="n"/>
      <c r="E20" s="9" t="inlineStr">
        <is>
          <t>A cotizar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7"/>
  <sheetViews>
    <sheetView workbookViewId="0">
      <selection activeCell="A1" sqref="A1"/>
    </sheetView>
  </sheetViews>
  <sheetFormatPr baseColWidth="8" defaultRowHeight="15"/>
  <cols>
    <col width="48" customWidth="1" min="1" max="1"/>
    <col width="15" customWidth="1" min="2" max="2"/>
    <col width="15" customWidth="1" min="3" max="3"/>
    <col width="15" customWidth="1" min="4" max="4"/>
    <col width="15" customWidth="1" min="5" max="5"/>
    <col width="15" customWidth="1" min="6" max="6"/>
    <col width="15" customWidth="1" min="7" max="7"/>
  </cols>
  <sheetData>
    <row r="1">
      <c r="A1" s="14" t="inlineStr">
        <is>
          <t>Flujo de fondos de una casa (Aura Esencial, a precio de ficha)</t>
        </is>
      </c>
    </row>
    <row r="2">
      <c r="A2" t="inlineStr">
        <is>
          <t>Supuesto: obra de 4 meses. Costos de Aura_Esencial_Presupuesto_v1 (USD). El kit se paga al inicio. Amarillo = editable.</t>
        </is>
      </c>
    </row>
    <row r="4">
      <c r="A4" s="8" t="inlineStr">
        <is>
          <t>Concepto</t>
        </is>
      </c>
      <c r="B4" s="8" t="inlineStr">
        <is>
          <t>Mes 0 (firma)</t>
        </is>
      </c>
      <c r="C4" s="8" t="inlineStr">
        <is>
          <t>Mes 1</t>
        </is>
      </c>
      <c r="D4" s="8" t="inlineStr">
        <is>
          <t>Mes 2</t>
        </is>
      </c>
      <c r="E4" s="8" t="inlineStr">
        <is>
          <t>Mes 3</t>
        </is>
      </c>
      <c r="F4" s="8" t="inlineStr">
        <is>
          <t>Mes 4 (entrega)</t>
        </is>
      </c>
      <c r="G4" s="8" t="inlineStr">
        <is>
          <t>Total</t>
        </is>
      </c>
    </row>
    <row r="5">
      <c r="A5" s="18" t="inlineStr">
        <is>
          <t>COBROS</t>
        </is>
      </c>
      <c r="B5" s="9" t="n"/>
      <c r="C5" s="9" t="n"/>
      <c r="D5" s="9" t="n"/>
      <c r="E5" s="9" t="n"/>
      <c r="F5" s="9" t="n"/>
      <c r="G5" s="9" t="n"/>
    </row>
    <row r="6">
      <c r="A6" s="9" t="inlineStr">
        <is>
          <t>Contratación 10%</t>
        </is>
      </c>
      <c r="B6" s="11">
        <f>Venta!$B$21*0.1</f>
        <v/>
      </c>
      <c r="C6" s="11" t="n">
        <v>0</v>
      </c>
      <c r="D6" s="11" t="n">
        <v>0</v>
      </c>
      <c r="E6" s="11" t="n">
        <v>0</v>
      </c>
      <c r="F6" s="11" t="n">
        <v>0</v>
      </c>
      <c r="G6" s="11">
        <f>SUM(B6:F6)</f>
        <v/>
      </c>
    </row>
    <row r="7">
      <c r="A7" s="9" t="inlineStr">
        <is>
          <t>Inicio 50%</t>
        </is>
      </c>
      <c r="B7" s="11" t="n">
        <v>0</v>
      </c>
      <c r="C7" s="11">
        <f>Venta!$B$21*0.5</f>
        <v/>
      </c>
      <c r="D7" s="11" t="n">
        <v>0</v>
      </c>
      <c r="E7" s="11" t="n">
        <v>0</v>
      </c>
      <c r="F7" s="11" t="n">
        <v>0</v>
      </c>
      <c r="G7" s="11">
        <f>SUM(B7:F7)</f>
        <v/>
      </c>
    </row>
    <row r="8">
      <c r="A8" s="9" t="inlineStr">
        <is>
          <t>Avances 15% + 10% + 10%</t>
        </is>
      </c>
      <c r="B8" s="11" t="n">
        <v>0</v>
      </c>
      <c r="C8" s="11">
        <f>Venta!$B$21*0.15</f>
        <v/>
      </c>
      <c r="D8" s="11">
        <f>Venta!$B$21*0.1</f>
        <v/>
      </c>
      <c r="E8" s="11">
        <f>Venta!$B$21*0.1</f>
        <v/>
      </c>
      <c r="F8" s="11" t="n">
        <v>0</v>
      </c>
      <c r="G8" s="11">
        <f>SUM(B8:F8)</f>
        <v/>
      </c>
    </row>
    <row r="9">
      <c r="A9" s="9" t="inlineStr">
        <is>
          <t>Entrega 5%</t>
        </is>
      </c>
      <c r="B9" s="11" t="n">
        <v>0</v>
      </c>
      <c r="C9" s="11" t="n">
        <v>0</v>
      </c>
      <c r="D9" s="11" t="n">
        <v>0</v>
      </c>
      <c r="E9" s="11" t="n">
        <v>0</v>
      </c>
      <c r="F9" s="11">
        <f>Venta!$B$21*0.05</f>
        <v/>
      </c>
      <c r="G9" s="11">
        <f>SUM(B9:F9)</f>
        <v/>
      </c>
    </row>
    <row r="10">
      <c r="A10" s="18" t="inlineStr">
        <is>
          <t>Total cobros</t>
        </is>
      </c>
      <c r="B10" s="11">
        <f>SUM(B6:B9)</f>
        <v/>
      </c>
      <c r="C10" s="11">
        <f>SUM(C6:C9)</f>
        <v/>
      </c>
      <c r="D10" s="11">
        <f>SUM(D6:D9)</f>
        <v/>
      </c>
      <c r="E10" s="11">
        <f>SUM(E6:E9)</f>
        <v/>
      </c>
      <c r="F10" s="11">
        <f>SUM(F6:F9)</f>
        <v/>
      </c>
      <c r="G10" s="11">
        <f>SUM(G6:G9)</f>
        <v/>
      </c>
    </row>
    <row r="11">
      <c r="A11" s="9" t="n"/>
      <c r="B11" s="9" t="n"/>
      <c r="C11" s="9" t="n"/>
      <c r="D11" s="9" t="n"/>
      <c r="E11" s="9" t="n"/>
      <c r="F11" s="9" t="n"/>
      <c r="G11" s="9" t="n"/>
    </row>
    <row r="12">
      <c r="A12" s="18" t="inlineStr">
        <is>
          <t>PAGOS</t>
        </is>
      </c>
      <c r="B12" s="9" t="n"/>
      <c r="C12" s="9" t="n"/>
      <c r="D12" s="9" t="n"/>
      <c r="E12" s="9" t="n"/>
      <c r="F12" s="9" t="n"/>
      <c r="G12" s="9" t="n"/>
    </row>
    <row r="13">
      <c r="A13" s="9" t="inlineStr">
        <is>
          <t>Kit SIPCOR (con IVA)</t>
        </is>
      </c>
      <c r="B13" s="15" t="n">
        <v>0</v>
      </c>
      <c r="C13" s="15" t="n">
        <v>17600</v>
      </c>
      <c r="D13" s="15" t="n">
        <v>0</v>
      </c>
      <c r="E13" s="15" t="n">
        <v>0</v>
      </c>
      <c r="F13" s="15" t="n">
        <v>0</v>
      </c>
      <c r="G13" s="11">
        <f>SUM(B13:F13)</f>
        <v/>
      </c>
    </row>
    <row r="14">
      <c r="A14" s="9" t="inlineStr">
        <is>
          <t>Flete Córdoba</t>
        </is>
      </c>
      <c r="B14" s="15" t="n">
        <v>0</v>
      </c>
      <c r="C14" s="15" t="n">
        <v>516</v>
      </c>
      <c r="D14" s="15" t="n">
        <v>0</v>
      </c>
      <c r="E14" s="15" t="n">
        <v>0</v>
      </c>
      <c r="F14" s="15" t="n">
        <v>0</v>
      </c>
      <c r="G14" s="11">
        <f>SUM(B14:F14)</f>
        <v/>
      </c>
    </row>
    <row r="15">
      <c r="A15" s="9" t="inlineStr">
        <is>
          <t>Fundación, contrapisos, mantenimiento y estudio de suelos</t>
        </is>
      </c>
      <c r="B15" s="15" t="n">
        <v>0</v>
      </c>
      <c r="C15" s="15" t="n">
        <v>2000</v>
      </c>
      <c r="D15" s="15" t="n">
        <v>254</v>
      </c>
      <c r="E15" s="15" t="n">
        <v>254</v>
      </c>
      <c r="F15" s="15" t="n">
        <v>0</v>
      </c>
      <c r="G15" s="11">
        <f>SUM(B15:F15)</f>
        <v/>
      </c>
    </row>
    <row r="16">
      <c r="A16" s="9" t="inlineStr">
        <is>
          <t>Obra gris: techo, siding, zinguería, durlock, sellado</t>
        </is>
      </c>
      <c r="B16" s="15" t="n">
        <v>0</v>
      </c>
      <c r="C16" s="15" t="n">
        <v>0</v>
      </c>
      <c r="D16" s="15" t="n">
        <v>6801</v>
      </c>
      <c r="E16" s="15" t="n">
        <v>0</v>
      </c>
      <c r="F16" s="15" t="n">
        <v>0</v>
      </c>
      <c r="G16" s="11">
        <f>SUM(B16:F16)</f>
        <v/>
      </c>
    </row>
    <row r="17">
      <c r="A17" s="9" t="inlineStr">
        <is>
          <t>Instalaciones (materiales y artefactos)</t>
        </is>
      </c>
      <c r="B17" s="15" t="n">
        <v>0</v>
      </c>
      <c r="C17" s="15" t="n">
        <v>0</v>
      </c>
      <c r="D17" s="15" t="n">
        <v>2000</v>
      </c>
      <c r="E17" s="15" t="n">
        <v>1869</v>
      </c>
      <c r="F17" s="15" t="n">
        <v>0</v>
      </c>
      <c r="G17" s="11">
        <f>SUM(B17:F17)</f>
        <v/>
      </c>
    </row>
    <row r="18">
      <c r="A18" s="9" t="inlineStr">
        <is>
          <t>Aberturas y puertas</t>
        </is>
      </c>
      <c r="B18" s="15" t="n">
        <v>0</v>
      </c>
      <c r="C18" s="15" t="n">
        <v>0</v>
      </c>
      <c r="D18" s="15" t="n">
        <v>3226</v>
      </c>
      <c r="E18" s="15" t="n">
        <v>1729</v>
      </c>
      <c r="F18" s="15" t="n">
        <v>0</v>
      </c>
      <c r="G18" s="11">
        <f>SUM(B18:F18)</f>
        <v/>
      </c>
    </row>
    <row r="19">
      <c r="A19" s="9" t="inlineStr">
        <is>
          <t>Terminaciones, pintura, cocina, mesada, varios</t>
        </is>
      </c>
      <c r="B19" s="15" t="n">
        <v>0</v>
      </c>
      <c r="C19" s="15" t="n">
        <v>0</v>
      </c>
      <c r="D19" s="15" t="n">
        <v>0</v>
      </c>
      <c r="E19" s="15" t="n">
        <v>5982</v>
      </c>
      <c r="F19" s="15" t="n">
        <v>800</v>
      </c>
      <c r="G19" s="11">
        <f>SUM(B19:F19)</f>
        <v/>
      </c>
    </row>
    <row r="20">
      <c r="A20" s="9" t="inlineStr">
        <is>
          <t>Mano de obra (USD 340/m²)</t>
        </is>
      </c>
      <c r="B20" s="15" t="n">
        <v>0</v>
      </c>
      <c r="C20" s="15" t="n">
        <v>4000</v>
      </c>
      <c r="D20" s="15" t="n">
        <v>8400</v>
      </c>
      <c r="E20" s="15" t="n">
        <v>9000</v>
      </c>
      <c r="F20" s="15" t="n">
        <v>3420</v>
      </c>
      <c r="G20" s="11">
        <f>SUM(B20:F20)</f>
        <v/>
      </c>
    </row>
    <row r="21">
      <c r="A21" s="9" t="inlineStr">
        <is>
          <t>Comisiones (al cobrar la seña y el inicio)</t>
        </is>
      </c>
      <c r="B21" s="15">
        <f>Venta!B23*0.5</f>
        <v/>
      </c>
      <c r="C21" s="15">
        <f>Venta!B23*0.5</f>
        <v/>
      </c>
      <c r="D21" s="15" t="n">
        <v>0</v>
      </c>
      <c r="E21" s="15" t="n">
        <v>0</v>
      </c>
      <c r="F21" s="15" t="n">
        <v>0</v>
      </c>
      <c r="G21" s="11">
        <f>SUM(B21:F21)</f>
        <v/>
      </c>
    </row>
    <row r="22">
      <c r="A22" s="18" t="inlineStr">
        <is>
          <t>Total pagos</t>
        </is>
      </c>
      <c r="B22" s="11">
        <f>SUM(B13:B21)</f>
        <v/>
      </c>
      <c r="C22" s="11">
        <f>SUM(C13:C21)</f>
        <v/>
      </c>
      <c r="D22" s="11">
        <f>SUM(D13:D21)</f>
        <v/>
      </c>
      <c r="E22" s="11">
        <f>SUM(E13:E21)</f>
        <v/>
      </c>
      <c r="F22" s="11">
        <f>SUM(F13:F21)</f>
        <v/>
      </c>
      <c r="G22" s="11">
        <f>SUM(G13:G21)</f>
        <v/>
      </c>
    </row>
    <row r="23">
      <c r="A23" s="9" t="n"/>
      <c r="B23" s="9" t="n"/>
      <c r="C23" s="9" t="n"/>
      <c r="D23" s="9" t="n"/>
      <c r="E23" s="9" t="n"/>
      <c r="F23" s="9" t="n"/>
      <c r="G23" s="9" t="n"/>
    </row>
    <row r="24">
      <c r="A24" s="18" t="inlineStr">
        <is>
          <t>SALDO DEL MES</t>
        </is>
      </c>
      <c r="B24" s="11">
        <f>B10-B22</f>
        <v/>
      </c>
      <c r="C24" s="11">
        <f>C10-C22</f>
        <v/>
      </c>
      <c r="D24" s="11">
        <f>D10-D22</f>
        <v/>
      </c>
      <c r="E24" s="11">
        <f>E10-E22</f>
        <v/>
      </c>
      <c r="F24" s="11">
        <f>F10-F22</f>
        <v/>
      </c>
      <c r="G24" s="11">
        <f>G10-G22</f>
        <v/>
      </c>
    </row>
    <row r="25">
      <c r="A25" s="18" t="inlineStr">
        <is>
          <t>SALDO ACUMULADO</t>
        </is>
      </c>
      <c r="B25" s="19">
        <f>B24</f>
        <v/>
      </c>
      <c r="C25" s="19">
        <f>B25+C24</f>
        <v/>
      </c>
      <c r="D25" s="19">
        <f>C25+D24</f>
        <v/>
      </c>
      <c r="E25" s="19">
        <f>D25+E24</f>
        <v/>
      </c>
      <c r="F25" s="19">
        <f>E25+F24</f>
        <v/>
      </c>
      <c r="G25" s="9" t="n"/>
    </row>
    <row r="27">
      <c r="A27" s="20" t="inlineStr">
        <is>
          <t>Lectura: si el saldo acumulado nunca es negativo, la obra se financia con el dinero del cliente. Revisar el mes 1: el kit y el 60% del cobro coinciden.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2026-10-04T16:21:04Z</dcterms:created>
  <dcterms:modified xsi:type="dcterms:W3CDTF">2026-10-04T16:21:35Z</dcterms:modified>
</cp:coreProperties>
</file>