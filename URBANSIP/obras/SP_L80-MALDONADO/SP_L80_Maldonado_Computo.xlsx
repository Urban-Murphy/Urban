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uto" sheetId="1" state="visible" r:id="rId3"/>
    <sheet name="Locales" sheetId="2" state="visible" r:id="rId4"/>
    <sheet name="Ref_SIPCOR" sheetId="3" state="visible" r:id="rId5"/>
    <sheet name="Supues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<sst xmlns="http://schemas.openxmlformats.org/spreadsheetml/2006/main" count="335" uniqueCount="225">
  <si>
    <t xml:space="preserve">CÓMPUTO SP_L80 - VIVIENDA MALDONADO (Ezeiza) - mismo aperturado que Aura</t>
  </si>
  <si>
    <t xml:space="preserve">Excluye carpinterías y muebles (según pedido). Precios en blanco para completar. Estado: MEDIDO (plano) / SIPCOR (ppto 2835) / ESTIMADO (verificar) / PENDIENTE (falta info).</t>
  </si>
  <si>
    <t xml:space="preserve">Descripción tareas</t>
  </si>
  <si>
    <t xml:space="preserve">Un.</t>
  </si>
  <si>
    <t xml:space="preserve">Cantidad</t>
  </si>
  <si>
    <t xml:space="preserve">Precio unit.</t>
  </si>
  <si>
    <t xml:space="preserve">Precio parcial</t>
  </si>
  <si>
    <t xml:space="preserve">Criterio / fuente</t>
  </si>
  <si>
    <t xml:space="preserve">Estado</t>
  </si>
  <si>
    <t xml:space="preserve">FUNDACIÓN Y CONTRAPISOS</t>
  </si>
  <si>
    <t xml:space="preserve">Platea H°A s/ cálculo (cubierta + semicubierta)</t>
  </si>
  <si>
    <t xml:space="preserve">m²</t>
  </si>
  <si>
    <t xml:space="preserve">Plano: detalle platea / estructura en platea (cálculo estructural pendiente). Cub+semi s/ balance</t>
  </si>
  <si>
    <t xml:space="preserve">ESTIMADO</t>
  </si>
  <si>
    <t xml:space="preserve">Nylon bajo platea / contrapisos (rollo 100 m²)</t>
  </si>
  <si>
    <t xml:space="preserve">rollo</t>
  </si>
  <si>
    <t xml:space="preserve">Sup platea +10% solape</t>
  </si>
  <si>
    <t xml:space="preserve">Carpeta de cemento 2 cm interior</t>
  </si>
  <si>
    <t xml:space="preserve">Σ pisos interiores</t>
  </si>
  <si>
    <t xml:space="preserve">MEDIDO</t>
  </si>
  <si>
    <t xml:space="preserve">Contrapiso exterior esp. 12 cm (galería+cochera+deck)</t>
  </si>
  <si>
    <t xml:space="preserve">Confirmar si galería/cochera van sobre platea (plano 10)</t>
  </si>
  <si>
    <t xml:space="preserve">Carpeta de cemento exterior</t>
  </si>
  <si>
    <t xml:space="preserve">Igual a contrapiso exterior</t>
  </si>
  <si>
    <t xml:space="preserve">MANTENIMIENTO DE OBRA</t>
  </si>
  <si>
    <t xml:space="preserve">Baño químico mensual</t>
  </si>
  <si>
    <t xml:space="preserve">meses</t>
  </si>
  <si>
    <t xml:space="preserve">Ref. Aura 3 meses p/ 73 m²; plazo a definir</t>
  </si>
  <si>
    <t xml:space="preserve">PENDIENTE</t>
  </si>
  <si>
    <t xml:space="preserve">Limpieza periódica. Volquetes</t>
  </si>
  <si>
    <t xml:space="preserve">Volq</t>
  </si>
  <si>
    <t xml:space="preserve">Ref. Aura 3; a definir</t>
  </si>
  <si>
    <t xml:space="preserve">OBRA GRIS</t>
  </si>
  <si>
    <t xml:space="preserve">Paneles Kit Full SIPCOR (OSB 11,1 + EPS 15 kg/m³)</t>
  </si>
  <si>
    <t xml:space="preserve">gl</t>
  </si>
  <si>
    <t xml:space="preserve">SIPCOR ppto 2835 16/09/26: USD 33.850,50 + IVA 21% = USD 40.959,11 (ver hoja Ref_SIPCOR)</t>
  </si>
  <si>
    <t xml:space="preserve">SIPCOR</t>
  </si>
  <si>
    <t xml:space="preserve">Flete desde Córdoba</t>
  </si>
  <si>
    <t xml:space="preserve">No incluido en SIPCOR; cotizar a Ezeiza</t>
  </si>
  <si>
    <t xml:space="preserve">Materiales de sellado adicionales paredes y techo</t>
  </si>
  <si>
    <t xml:space="preserve">Ref. Aura (gl); ajustar por m² de panel</t>
  </si>
  <si>
    <t xml:space="preserve">Tirantes de techo, vigas y dinteles (madera) - NO incluidos en SIPCOR</t>
  </si>
  <si>
    <t xml:space="preserve">SIPCOR aclara que no los incluye. Ver manual de instalación</t>
  </si>
  <si>
    <t xml:space="preserve">Dinteles 3x4</t>
  </si>
  <si>
    <t xml:space="preserve">ml</t>
  </si>
  <si>
    <t xml:space="preserve">Σ anchos de aberturas estimados del plano (ilum. proy.). Verificar con planilla aberturas</t>
  </si>
  <si>
    <t xml:space="preserve">Revestimiento placa de roca interior estándar</t>
  </si>
  <si>
    <t xml:space="preserve">Perím×H locales secos, sin descontar vanos (criterio Aura)</t>
  </si>
  <si>
    <t xml:space="preserve">Revestimiento placa de roca interior RH</t>
  </si>
  <si>
    <t xml:space="preserve">Baños y lavadero, perím×H</t>
  </si>
  <si>
    <t xml:space="preserve">Durlock cielorraso baño</t>
  </si>
  <si>
    <t xml:space="preserve">Cielorraso = panel techo SIP50 MDF ranurado (SIPCOR); sin durlock</t>
  </si>
  <si>
    <t xml:space="preserve">Revestimiento exterior (siding LP / Tarquini gris s/ plano)</t>
  </si>
  <si>
    <t xml:space="preserve">64 muros ext. SIPCOR × 1,22×2,44 (no descuenta vanos). No incluye hastiales. Plano indica "Tarquini gris": definir terminación</t>
  </si>
  <si>
    <t xml:space="preserve">Cubierta de techo (teja / chapa a definir) sobre paneles</t>
  </si>
  <si>
    <t xml:space="preserve">137 paneles techo SIP50 0,60×2,40 (SIPCOR). Plano: techo tipo teja</t>
  </si>
  <si>
    <t xml:space="preserve">Techo semicubierta (galería+cochera): estructura madera y cubierta</t>
  </si>
  <si>
    <t xml:space="preserve">Balance plano (proyección horizontal). Fuera del kit SIPCOR</t>
  </si>
  <si>
    <t xml:space="preserve">Canaletas</t>
  </si>
  <si>
    <t xml:space="preserve">Estimado aleros principales (2×14,65). Verificar planta de techos 13</t>
  </si>
  <si>
    <t xml:space="preserve">Bajada de canaleta</t>
  </si>
  <si>
    <t xml:space="preserve">4 bajadas × 2,6 m</t>
  </si>
  <si>
    <t xml:space="preserve">Zinguería de carga</t>
  </si>
  <si>
    <t xml:space="preserve">Ratio Aura (30 ml / 50 ml perím.) × perím. panel ext.</t>
  </si>
  <si>
    <t xml:space="preserve">Botagua arranque panel SIP</t>
  </si>
  <si>
    <t xml:space="preserve">Perímetro base muros ext. (64 paneles × 1,22)</t>
  </si>
  <si>
    <t xml:space="preserve">Zinguería de dinteles</t>
  </si>
  <si>
    <t xml:space="preserve">Igual a dinteles</t>
  </si>
  <si>
    <t xml:space="preserve">INSTALACIÓN SANITARIA</t>
  </si>
  <si>
    <t xml:space="preserve">Materiales sanitarios</t>
  </si>
  <si>
    <t xml:space="preserve">2 baños + toilette + lavadero + cocina. Ver plano "Instalación sanitaria PB"</t>
  </si>
  <si>
    <t xml:space="preserve">Mano de obra sanitaria</t>
  </si>
  <si>
    <t xml:space="preserve">idem</t>
  </si>
  <si>
    <t xml:space="preserve">Artefactos sanitarios (juego baño ×2, inodoro toilette, pileta lavadero doble, bacha cocina)</t>
  </si>
  <si>
    <t xml:space="preserve">Listado a definir</t>
  </si>
  <si>
    <t xml:space="preserve">Extractores</t>
  </si>
  <si>
    <t xml:space="preserve">u</t>
  </si>
  <si>
    <t xml:space="preserve">Toilette, lavadero y depósito sin ventilación (Art. 4.6.5.1)</t>
  </si>
  <si>
    <t xml:space="preserve">Tanque cisterna enterrado 1500 l</t>
  </si>
  <si>
    <t xml:space="preserve">Indicado en plano</t>
  </si>
  <si>
    <t xml:space="preserve">INSTALACIÓN ELÉCTRICA</t>
  </si>
  <si>
    <t xml:space="preserve">Materiales eléctricos</t>
  </si>
  <si>
    <t xml:space="preserve">bocas</t>
  </si>
  <si>
    <t xml:space="preserve">Ratio Aura 0,79 bocas/m² × sup cubierta. Sin proyecto eléctrico</t>
  </si>
  <si>
    <t xml:space="preserve">Mano de obra eléctrica</t>
  </si>
  <si>
    <t xml:space="preserve">TERMINACIONES</t>
  </si>
  <si>
    <t xml:space="preserve">Piso porcelanato interior</t>
  </si>
  <si>
    <t xml:space="preserve">Σ pisos interiores (living 60×60 blanco; resto a definir)</t>
  </si>
  <si>
    <t xml:space="preserve">Revestimiento cerámico baños (perím×H) + salpicadero cocina</t>
  </si>
  <si>
    <t xml:space="preserve">Baños completos; cocina 4 m² ref. Aura</t>
  </si>
  <si>
    <t xml:space="preserve">Impermeabilización de ducha</t>
  </si>
  <si>
    <t xml:space="preserve">2 duchas × 11,56 m² (ref. Aura)</t>
  </si>
  <si>
    <t xml:space="preserve">Zócalo</t>
  </si>
  <si>
    <t xml:space="preserve">Perímetro dormitorios y living, sin descontar vanos</t>
  </si>
  <si>
    <t xml:space="preserve">PISOS EXTERIORES</t>
  </si>
  <si>
    <t xml:space="preserve">Piso porcelanato 40×40 gris claro (galería + cochera)</t>
  </si>
  <si>
    <t xml:space="preserve">Cotas plano. Sin desperdicio (+10-15% al comprar)</t>
  </si>
  <si>
    <t xml:space="preserve">Baldosa refractaria antideslizante (deck pileta)</t>
  </si>
  <si>
    <t xml:space="preserve">Cotas plano</t>
  </si>
  <si>
    <t xml:space="preserve">Vereda / acceso frente (retiro 5,00 m)</t>
  </si>
  <si>
    <t xml:space="preserve">No dibujado en plano; definir</t>
  </si>
  <si>
    <t xml:space="preserve">PINTURA</t>
  </si>
  <si>
    <t xml:space="preserve">Látex interior paredes</t>
  </si>
  <si>
    <t xml:space="preserve">Terminación MDF ranurado cielorraso (barniz/pintura)</t>
  </si>
  <si>
    <t xml:space="preserve">Sup cubierta s/ plano (techo SIPCOR MDF)</t>
  </si>
  <si>
    <t xml:space="preserve">VARIOS Y ADICIONALES DEL PLANO</t>
  </si>
  <si>
    <t xml:space="preserve">Estudio de suelos</t>
  </si>
  <si>
    <t xml:space="preserve">Plano indica suelo limoso A-4 compactado 95% Proctor</t>
  </si>
  <si>
    <t xml:space="preserve">Pileta de natación H°A (espejo 8,00×3,50)</t>
  </si>
  <si>
    <t xml:space="preserve">Prof. 1,20-1,80 s/ corte pileta; cálculo estructural aparte</t>
  </si>
  <si>
    <t xml:space="preserve">Cerco alambre romboidal 2" h=1,50 m, postes madera</t>
  </si>
  <si>
    <t xml:space="preserve">Lateral×2 + fondo; frente a definir (lote 20,65×30)</t>
  </si>
  <si>
    <t xml:space="preserve">Gabinete bomba y filtro</t>
  </si>
  <si>
    <t xml:space="preserve">Plano</t>
  </si>
  <si>
    <t xml:space="preserve">TOTAL</t>
  </si>
  <si>
    <t xml:space="preserve">PLANILLA DE LOCALES - PERÍMETROS Y SUPERFICIES (SP_L80 - Maldonado, Ezeiza)</t>
  </si>
  <si>
    <t xml:space="preserve">Azul = dato de entrada (editable). Superficies de la Tabla de Iluminación del plano; perímetros por cotas del plano (irregulares = estimados, verificar en CAD). H = altura de cálculo de muros (nivel +2,59 del plano).</t>
  </si>
  <si>
    <t xml:space="preserve">Altura H de cálculo (m):</t>
  </si>
  <si>
    <t xml:space="preserve">N°</t>
  </si>
  <si>
    <t xml:space="preserve">Local</t>
  </si>
  <si>
    <t xml:space="preserve">Tipo</t>
  </si>
  <si>
    <t xml:space="preserve">Perím (m)</t>
  </si>
  <si>
    <t xml:space="preserve">Sup (m²)</t>
  </si>
  <si>
    <t xml:space="preserve">H (m)</t>
  </si>
  <si>
    <t xml:space="preserve">Perím×H (m²)</t>
  </si>
  <si>
    <t xml:space="preserve">Durlock STD (m²)</t>
  </si>
  <si>
    <t xml:space="preserve">Durlock RH (m²)</t>
  </si>
  <si>
    <t xml:space="preserve">Piso interior (m²)</t>
  </si>
  <si>
    <t xml:space="preserve">Revest. cerám. (m²)</t>
  </si>
  <si>
    <t xml:space="preserve">Zócalo (ml)</t>
  </si>
  <si>
    <t xml:space="preserve">Imperm. ducha (m²)</t>
  </si>
  <si>
    <t xml:space="preserve">Fuente / criterio</t>
  </si>
  <si>
    <t xml:space="preserve">01</t>
  </si>
  <si>
    <t xml:space="preserve">Dormitorio 1 (incl. vestidor)</t>
  </si>
  <si>
    <t xml:space="preserve">Interior</t>
  </si>
  <si>
    <t xml:space="preserve">Sup tabla plano. Perím = rect. 3,46×5,86 equiv. (incluye vestidores 0,60/0.98/0,60)</t>
  </si>
  <si>
    <t xml:space="preserve">02</t>
  </si>
  <si>
    <t xml:space="preserve">Baño (toilette)</t>
  </si>
  <si>
    <t xml:space="preserve">Sup tabla. Perím 0,96×1,67</t>
  </si>
  <si>
    <t xml:space="preserve">03</t>
  </si>
  <si>
    <t xml:space="preserve">Depósito</t>
  </si>
  <si>
    <t xml:space="preserve">Sup tabla. Perím 0,74×3,63 cotas</t>
  </si>
  <si>
    <t xml:space="preserve">04</t>
  </si>
  <si>
    <t xml:space="preserve">Lavadero</t>
  </si>
  <si>
    <t xml:space="preserve">Sup tabla. Perím 1,71×2,56 cotas</t>
  </si>
  <si>
    <t xml:space="preserve">05</t>
  </si>
  <si>
    <t xml:space="preserve">Cocina - Living - Comedor</t>
  </si>
  <si>
    <t xml:space="preserve">Sup tabla. Local irregular (7,43×6,00 + hall): perím equiv. rect. 8,40×7,28</t>
  </si>
  <si>
    <t xml:space="preserve">06</t>
  </si>
  <si>
    <t xml:space="preserve">Baño 1</t>
  </si>
  <si>
    <t xml:space="preserve">1,99×1,76 cotas</t>
  </si>
  <si>
    <t xml:space="preserve">07</t>
  </si>
  <si>
    <t xml:space="preserve">Baño 2</t>
  </si>
  <si>
    <t xml:space="preserve">08</t>
  </si>
  <si>
    <t xml:space="preserve">Dormitorio 2</t>
  </si>
  <si>
    <t xml:space="preserve">3,20×3,49 (sup tabla incl. placard 0,60)</t>
  </si>
  <si>
    <t xml:space="preserve">09</t>
  </si>
  <si>
    <t xml:space="preserve">Dormitorio 3</t>
  </si>
  <si>
    <t xml:space="preserve">TOTAL INTERIORES</t>
  </si>
  <si>
    <t xml:space="preserve">SEMICUBIERTAS Y PISOS EXTERIORES</t>
  </si>
  <si>
    <t xml:space="preserve">Local / Zona</t>
  </si>
  <si>
    <t xml:space="preserve">10</t>
  </si>
  <si>
    <t xml:space="preserve">Galería</t>
  </si>
  <si>
    <t xml:space="preserve">Semicubierta</t>
  </si>
  <si>
    <t xml:space="preserve">7,01×3,74 (cotas plano). Piso porcelanato 40×40 gris claro</t>
  </si>
  <si>
    <t xml:space="preserve">11</t>
  </si>
  <si>
    <t xml:space="preserve">Cochera</t>
  </si>
  <si>
    <t xml:space="preserve">6,47×5,34 (cotas plano). Piso porcelanato 40×40 gris claro</t>
  </si>
  <si>
    <t xml:space="preserve">12</t>
  </si>
  <si>
    <t xml:space="preserve">Deck pileta (baldosa refractaria antideslizante)</t>
  </si>
  <si>
    <t xml:space="preserve">Exterior</t>
  </si>
  <si>
    <t xml:space="preserve">Deck 10,50×4,50 = 47,25 − espejo pileta 28,00. Cotas plano</t>
  </si>
  <si>
    <t xml:space="preserve">13</t>
  </si>
  <si>
    <t xml:space="preserve">Pileta de natación (espejo)</t>
  </si>
  <si>
    <t xml:space="preserve">8,00×3,50 (balance de superficies plano). Estructura H°A</t>
  </si>
  <si>
    <t xml:space="preserve">CONTROL DE SUPERFICIES</t>
  </si>
  <si>
    <t xml:space="preserve">Σ locales interiores (m²)</t>
  </si>
  <si>
    <t xml:space="preserve">Cubierta s/ plano - balance (m²)</t>
  </si>
  <si>
    <t xml:space="preserve">Diferencia = tabiques, muros, circulaciones no listados (m²)</t>
  </si>
  <si>
    <t xml:space="preserve">Semicubierta s/ plano - balance (m²)</t>
  </si>
  <si>
    <t xml:space="preserve">Σ galería+cochera medidas (m²)</t>
  </si>
  <si>
    <t xml:space="preserve">Total s/ plano (cub+semi) (m²)</t>
  </si>
  <si>
    <t xml:space="preserve">Superficie cubierta SIPCOR (ppto 2835) (m²)</t>
  </si>
  <si>
    <t xml:space="preserve">Semicubierta SIPCOR (m²)</t>
  </si>
  <si>
    <t xml:space="preserve">ALERTA: semicubierta plano vs SIPCOR (m²)</t>
  </si>
  <si>
    <t xml:space="preserve">REFERENCIA - PRESUPUESTO SIPCOR Nº 2835 (16/09/2026) - Diego Maldonado, Ezeiza</t>
  </si>
  <si>
    <t xml:space="preserve">Ubic.</t>
  </si>
  <si>
    <t xml:space="preserve">Descripción</t>
  </si>
  <si>
    <t xml:space="preserve">Cant. (u)</t>
  </si>
  <si>
    <t xml:space="preserve">Medida unit.</t>
  </si>
  <si>
    <t xml:space="preserve">Ml total</t>
  </si>
  <si>
    <t xml:space="preserve">m² total</t>
  </si>
  <si>
    <t xml:space="preserve">USD unit.</t>
  </si>
  <si>
    <t xml:space="preserve">USD total</t>
  </si>
  <si>
    <t xml:space="preserve">Muro</t>
  </si>
  <si>
    <t xml:space="preserve">Muro SIP70 Exterior - kit con insumos (1,22×2,44×0,092; OSB 11,1; EPS 15)</t>
  </si>
  <si>
    <t xml:space="preserve">1,22×2,44</t>
  </si>
  <si>
    <t xml:space="preserve">Muro SIP70 Interior - kit con insumos</t>
  </si>
  <si>
    <t xml:space="preserve">Esquina</t>
  </si>
  <si>
    <t xml:space="preserve">Esquina SIP70 con insumos (2,44 ml)</t>
  </si>
  <si>
    <t xml:space="preserve">2,44 ml</t>
  </si>
  <si>
    <t xml:space="preserve">Entrepiso</t>
  </si>
  <si>
    <t xml:space="preserve">Entrepiso SIP70 con insumos (altillo)</t>
  </si>
  <si>
    <t xml:space="preserve">Techo</t>
  </si>
  <si>
    <t xml:space="preserve">Techo SIP50 ranurado MDF (0,60×2,40×0,0685)</t>
  </si>
  <si>
    <t xml:space="preserve">0,60×2,40</t>
  </si>
  <si>
    <t xml:space="preserve">Subtotal</t>
  </si>
  <si>
    <t xml:space="preserve">IVA 21%</t>
  </si>
  <si>
    <t xml:space="preserve">TOTAL USD</t>
  </si>
  <si>
    <t xml:space="preserve">TC 15/9/26</t>
  </si>
  <si>
    <t xml:space="preserve">TOTAL $</t>
  </si>
  <si>
    <t xml:space="preserve">Notas</t>
  </si>
  <si>
    <t xml:space="preserve">SIPCOR superficie de obra: cubierta 140,30 + semicubierta 23,70 = 164,00 m². El plano municipal indica 145,87 + 63,55 = 209,42 m² (la semicubierta difiere 39,85 m²: galería/cochera en madera quedarían fuera del kit).</t>
  </si>
  <si>
    <t xml:space="preserve">No incluye: flete (entrega en Corral de Bustos, Córdoba), tirantes de techo, vigas ni dinteles. Validez 5 días con ajuste dólar BNA.</t>
  </si>
  <si>
    <t xml:space="preserve">Muros: 64 ext. = 78,08 ml; 56 int. = 68,32 ml. Se usaron para siding (m²), botagua (ml) y control de perímetros.</t>
  </si>
  <si>
    <t xml:space="preserve">El presupuesto SIPCOR es inicial; la cantidad de paneles puede variar con la modulación y los manuales de corte.</t>
  </si>
  <si>
    <t xml:space="preserve">SUPUESTOS Y PENDIENTES A VERIFICAR</t>
  </si>
  <si>
    <t xml:space="preserve">1. Plano municipal de una sola planta (PB, NPT 0,00; nivel +2,59; cumbrera hasta +5,23/+5,35). Altura de cálculo H=2,60 m (celda Locales!C3, editable; los hastiales del living elevan el promedio real).</t>
  </si>
  <si>
    <t xml:space="preserve">2. Perímetros de locales 01 y 05 son equivalentes rectangulares (locales irregulares). Verificar en CAD; impacta durlock, látex y zócalo.</t>
  </si>
  <si>
    <t xml:space="preserve">3. Siding exterior: a partir de paneles SIPCOR (64 muros ext. × 2,44 m). Falta hastiales y terminación "Tarquini gris" que indica el plano.</t>
  </si>
  <si>
    <t xml:space="preserve">4. Techo: 197,28 m² de paneles SIPCOR (137 × 1,44). Cubierta teja vs chapa, y tirantes, no definidos / no incluidos.</t>
  </si>
  <si>
    <t xml:space="preserve">5. Eléctrica, sanitaria, canaletas, dinteles, mantenimiento y vereda son estimaciones por ratio Aura o criterio; no hay proyecto de instalaciones cuantificable.</t>
  </si>
  <si>
    <t xml:space="preserve">6. Excluidos por pedido: carpinterías (aberturas, puertas) y muebles (cocina, mesadas, placards).</t>
  </si>
  <si>
    <t xml:space="preserve">7. Altillo ("Acceso altillo" en plano) tiene 13 paneles de entrepiso SIPCOR; no hay datos de escalera/terminación.</t>
  </si>
  <si>
    <t xml:space="preserve">8. Para cargar precios usar la columna D de Computo (precio parcial y total se calculan solos).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</si>
</sst>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80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customFormat="false" ht="15" hidden="false" customHeight="false" outlineLevel="0" collapsed="false">
      <c r="A5" s="3" t="s">
        <v>9</v>
      </c>
      <c r="B5" s="4"/>
      <c r="C5" s="4"/>
      <c r="D5" s="4"/>
      <c r="E5" s="4"/>
      <c r="F5" s="4"/>
      <c r="G5" s="4"/>
    </row>
    <row r="6" customFormat="false" ht="28.35" hidden="false" customHeight="false" outlineLevel="0" collapsed="false">
      <c r="A6" s="5" t="s">
        <v>10</v>
      </c>
      <c r="B6" s="6" t="s">
        <v>11</v>
      </c>
      <c r="C6" s="7" t="n">
        <f aca="false">145.87+63.55</f>
        <v>209.42</v>
      </c>
      <c r="D6" s="7"/>
      <c r="E6" s="7" t="n">
        <f aca="false">C6*D6</f>
        <v>0</v>
      </c>
      <c r="F6" s="5" t="s">
        <v>12</v>
      </c>
      <c r="G6" s="8" t="s">
        <v>13</v>
      </c>
    </row>
    <row r="7" customFormat="false" ht="15" hidden="false" customHeight="false" outlineLevel="0" collapsed="false">
      <c r="A7" s="5" t="s">
        <v>14</v>
      </c>
      <c r="B7" s="6" t="s">
        <v>15</v>
      </c>
      <c r="C7" s="7" t="n">
        <f aca="false">ROUNDUP(C6*1.1/100,0)</f>
        <v>3</v>
      </c>
      <c r="D7" s="7"/>
      <c r="E7" s="7" t="n">
        <f aca="false">C7*D7</f>
        <v>0</v>
      </c>
      <c r="F7" s="5" t="s">
        <v>16</v>
      </c>
      <c r="G7" s="8" t="s">
        <v>13</v>
      </c>
    </row>
    <row r="8" customFormat="false" ht="15" hidden="false" customHeight="false" outlineLevel="0" collapsed="false">
      <c r="A8" s="5" t="s">
        <v>17</v>
      </c>
      <c r="B8" s="6" t="s">
        <v>11</v>
      </c>
      <c r="C8" s="7" t="n">
        <f aca="false">Locales!J15</f>
        <v>119.29</v>
      </c>
      <c r="D8" s="7"/>
      <c r="E8" s="7" t="n">
        <f aca="false">C8*D8</f>
        <v>0</v>
      </c>
      <c r="F8" s="5" t="s">
        <v>18</v>
      </c>
      <c r="G8" s="9" t="s">
        <v>19</v>
      </c>
    </row>
    <row r="9" customFormat="false" ht="15" hidden="false" customHeight="false" outlineLevel="0" collapsed="false">
      <c r="A9" s="5" t="s">
        <v>20</v>
      </c>
      <c r="B9" s="6" t="s">
        <v>11</v>
      </c>
      <c r="C9" s="7" t="n">
        <f aca="false">Locales!E19+Locales!E20+Locales!E21</f>
        <v>80.02</v>
      </c>
      <c r="D9" s="7"/>
      <c r="E9" s="7" t="n">
        <f aca="false">C9*D9</f>
        <v>0</v>
      </c>
      <c r="F9" s="5" t="s">
        <v>21</v>
      </c>
      <c r="G9" s="8" t="s">
        <v>13</v>
      </c>
    </row>
    <row r="10" customFormat="false" ht="15" hidden="false" customHeight="false" outlineLevel="0" collapsed="false">
      <c r="A10" s="5" t="s">
        <v>22</v>
      </c>
      <c r="B10" s="6" t="s">
        <v>11</v>
      </c>
      <c r="C10" s="7" t="n">
        <f aca="false">C9</f>
        <v>80.02</v>
      </c>
      <c r="D10" s="7"/>
      <c r="E10" s="7" t="n">
        <f aca="false">C10*D10</f>
        <v>0</v>
      </c>
      <c r="F10" s="5" t="s">
        <v>23</v>
      </c>
      <c r="G10" s="8" t="s">
        <v>13</v>
      </c>
    </row>
    <row r="11" customFormat="false" ht="15" hidden="false" customHeight="false" outlineLevel="0" collapsed="false">
      <c r="A11" s="3" t="s">
        <v>24</v>
      </c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5" t="s">
        <v>25</v>
      </c>
      <c r="B12" s="6" t="s">
        <v>26</v>
      </c>
      <c r="C12" s="7" t="n">
        <v>4</v>
      </c>
      <c r="D12" s="7"/>
      <c r="E12" s="7" t="n">
        <f aca="false">C12*D12</f>
        <v>0</v>
      </c>
      <c r="F12" s="5" t="s">
        <v>27</v>
      </c>
      <c r="G12" s="10" t="s">
        <v>28</v>
      </c>
    </row>
    <row r="13" customFormat="false" ht="15" hidden="false" customHeight="false" outlineLevel="0" collapsed="false">
      <c r="A13" s="5" t="s">
        <v>29</v>
      </c>
      <c r="B13" s="6" t="s">
        <v>30</v>
      </c>
      <c r="C13" s="7" t="n">
        <v>4</v>
      </c>
      <c r="D13" s="7"/>
      <c r="E13" s="7" t="n">
        <f aca="false">C13*D13</f>
        <v>0</v>
      </c>
      <c r="F13" s="5" t="s">
        <v>31</v>
      </c>
      <c r="G13" s="10" t="s">
        <v>28</v>
      </c>
    </row>
    <row r="14" customFormat="false" ht="15" hidden="false" customHeight="false" outlineLevel="0" collapsed="false">
      <c r="A14" s="3" t="s">
        <v>32</v>
      </c>
      <c r="B14" s="4"/>
      <c r="C14" s="4"/>
      <c r="D14" s="4"/>
      <c r="E14" s="4"/>
      <c r="F14" s="4"/>
      <c r="G14" s="4"/>
    </row>
    <row r="15" customFormat="false" ht="28.35" hidden="false" customHeight="false" outlineLevel="0" collapsed="false">
      <c r="A15" s="5" t="s">
        <v>33</v>
      </c>
      <c r="B15" s="6" t="s">
        <v>34</v>
      </c>
      <c r="C15" s="7" t="n">
        <v>1</v>
      </c>
      <c r="D15" s="7"/>
      <c r="E15" s="7" t="n">
        <f aca="false">C15*D15</f>
        <v>0</v>
      </c>
      <c r="F15" s="5" t="s">
        <v>35</v>
      </c>
      <c r="G15" s="11" t="s">
        <v>36</v>
      </c>
    </row>
    <row r="16" customFormat="false" ht="15" hidden="false" customHeight="false" outlineLevel="0" collapsed="false">
      <c r="A16" s="5" t="s">
        <v>37</v>
      </c>
      <c r="B16" s="6" t="s">
        <v>34</v>
      </c>
      <c r="C16" s="7" t="n">
        <v>1</v>
      </c>
      <c r="D16" s="7"/>
      <c r="E16" s="7" t="n">
        <f aca="false">C16*D16</f>
        <v>0</v>
      </c>
      <c r="F16" s="5" t="s">
        <v>38</v>
      </c>
      <c r="G16" s="10" t="s">
        <v>28</v>
      </c>
    </row>
    <row r="17" customFormat="false" ht="15" hidden="false" customHeight="false" outlineLevel="0" collapsed="false">
      <c r="A17" s="5" t="s">
        <v>39</v>
      </c>
      <c r="B17" s="6" t="s">
        <v>34</v>
      </c>
      <c r="C17" s="7" t="n">
        <v>1</v>
      </c>
      <c r="D17" s="7"/>
      <c r="E17" s="7" t="n">
        <f aca="false">C17*D17</f>
        <v>0</v>
      </c>
      <c r="F17" s="5" t="s">
        <v>40</v>
      </c>
      <c r="G17" s="10" t="s">
        <v>28</v>
      </c>
    </row>
    <row r="18" customFormat="false" ht="15" hidden="false" customHeight="false" outlineLevel="0" collapsed="false">
      <c r="A18" s="5" t="s">
        <v>41</v>
      </c>
      <c r="B18" s="6" t="s">
        <v>34</v>
      </c>
      <c r="C18" s="7" t="n">
        <v>1</v>
      </c>
      <c r="D18" s="7"/>
      <c r="E18" s="7" t="n">
        <f aca="false">C18*D18</f>
        <v>0</v>
      </c>
      <c r="F18" s="5" t="s">
        <v>42</v>
      </c>
      <c r="G18" s="10" t="s">
        <v>28</v>
      </c>
    </row>
    <row r="19" customFormat="false" ht="15" hidden="false" customHeight="false" outlineLevel="0" collapsed="false">
      <c r="A19" s="5" t="s">
        <v>43</v>
      </c>
      <c r="B19" s="6" t="s">
        <v>44</v>
      </c>
      <c r="C19" s="7" t="n">
        <v>28</v>
      </c>
      <c r="D19" s="7"/>
      <c r="E19" s="7" t="n">
        <f aca="false">C19*D19</f>
        <v>0</v>
      </c>
      <c r="F19" s="5" t="s">
        <v>45</v>
      </c>
      <c r="G19" s="8" t="s">
        <v>13</v>
      </c>
    </row>
    <row r="20" customFormat="false" ht="15" hidden="false" customHeight="false" outlineLevel="0" collapsed="false">
      <c r="A20" s="5" t="s">
        <v>46</v>
      </c>
      <c r="B20" s="6" t="s">
        <v>11</v>
      </c>
      <c r="C20" s="7" t="n">
        <f aca="false">Locales!H15</f>
        <v>222.404</v>
      </c>
      <c r="D20" s="7"/>
      <c r="E20" s="7" t="n">
        <f aca="false">C20*D20</f>
        <v>0</v>
      </c>
      <c r="F20" s="5" t="s">
        <v>47</v>
      </c>
      <c r="G20" s="9" t="s">
        <v>19</v>
      </c>
    </row>
    <row r="21" customFormat="false" ht="15" hidden="false" customHeight="false" outlineLevel="0" collapsed="false">
      <c r="A21" s="5" t="s">
        <v>48</v>
      </c>
      <c r="B21" s="6" t="s">
        <v>11</v>
      </c>
      <c r="C21" s="7" t="n">
        <f aca="false">Locales!I15</f>
        <v>74.88</v>
      </c>
      <c r="D21" s="7"/>
      <c r="E21" s="7" t="n">
        <f aca="false">C21*D21</f>
        <v>0</v>
      </c>
      <c r="F21" s="5" t="s">
        <v>49</v>
      </c>
      <c r="G21" s="9" t="s">
        <v>19</v>
      </c>
    </row>
    <row r="22" customFormat="false" ht="15" hidden="false" customHeight="false" outlineLevel="0" collapsed="false">
      <c r="A22" s="5" t="s">
        <v>50</v>
      </c>
      <c r="B22" s="6" t="s">
        <v>11</v>
      </c>
      <c r="C22" s="7" t="n">
        <v>0</v>
      </c>
      <c r="D22" s="7"/>
      <c r="E22" s="7" t="n">
        <f aca="false">C22*D22</f>
        <v>0</v>
      </c>
      <c r="F22" s="5" t="s">
        <v>51</v>
      </c>
      <c r="G22" s="9" t="s">
        <v>19</v>
      </c>
    </row>
    <row r="23" customFormat="false" ht="28.35" hidden="false" customHeight="false" outlineLevel="0" collapsed="false">
      <c r="A23" s="5" t="s">
        <v>52</v>
      </c>
      <c r="B23" s="6" t="s">
        <v>11</v>
      </c>
      <c r="C23" s="7" t="n">
        <f aca="false">64*1.22*2.44</f>
        <v>190.5152</v>
      </c>
      <c r="D23" s="7"/>
      <c r="E23" s="7" t="n">
        <f aca="false">C23*D23</f>
        <v>0</v>
      </c>
      <c r="F23" s="5" t="s">
        <v>53</v>
      </c>
      <c r="G23" s="11" t="s">
        <v>36</v>
      </c>
    </row>
    <row r="24" customFormat="false" ht="15" hidden="false" customHeight="false" outlineLevel="0" collapsed="false">
      <c r="A24" s="5" t="s">
        <v>54</v>
      </c>
      <c r="B24" s="6" t="s">
        <v>11</v>
      </c>
      <c r="C24" s="7" t="n">
        <f aca="false">137*0.6*2.4</f>
        <v>197.28</v>
      </c>
      <c r="D24" s="7"/>
      <c r="E24" s="7" t="n">
        <f aca="false">C24*D24</f>
        <v>0</v>
      </c>
      <c r="F24" s="5" t="s">
        <v>55</v>
      </c>
      <c r="G24" s="11" t="s">
        <v>36</v>
      </c>
    </row>
    <row r="25" customFormat="false" ht="15" hidden="false" customHeight="false" outlineLevel="0" collapsed="false">
      <c r="A25" s="5" t="s">
        <v>56</v>
      </c>
      <c r="B25" s="6" t="s">
        <v>11</v>
      </c>
      <c r="C25" s="7" t="n">
        <f aca="false">63.55</f>
        <v>63.55</v>
      </c>
      <c r="D25" s="7"/>
      <c r="E25" s="7" t="n">
        <f aca="false">C25*D25</f>
        <v>0</v>
      </c>
      <c r="F25" s="5" t="s">
        <v>57</v>
      </c>
      <c r="G25" s="8" t="s">
        <v>13</v>
      </c>
    </row>
    <row r="26" customFormat="false" ht="15" hidden="false" customHeight="false" outlineLevel="0" collapsed="false">
      <c r="A26" s="5" t="s">
        <v>58</v>
      </c>
      <c r="B26" s="6" t="s">
        <v>44</v>
      </c>
      <c r="C26" s="7" t="n">
        <v>30</v>
      </c>
      <c r="D26" s="7"/>
      <c r="E26" s="7" t="n">
        <f aca="false">C26*D26</f>
        <v>0</v>
      </c>
      <c r="F26" s="5" t="s">
        <v>59</v>
      </c>
      <c r="G26" s="8" t="s">
        <v>13</v>
      </c>
    </row>
    <row r="27" customFormat="false" ht="15" hidden="false" customHeight="false" outlineLevel="0" collapsed="false">
      <c r="A27" s="5" t="s">
        <v>60</v>
      </c>
      <c r="B27" s="6" t="s">
        <v>44</v>
      </c>
      <c r="C27" s="7" t="n">
        <v>10.4</v>
      </c>
      <c r="D27" s="7"/>
      <c r="E27" s="7" t="n">
        <f aca="false">C27*D27</f>
        <v>0</v>
      </c>
      <c r="F27" s="5" t="s">
        <v>61</v>
      </c>
      <c r="G27" s="8" t="s">
        <v>13</v>
      </c>
    </row>
    <row r="28" customFormat="false" ht="15" hidden="false" customHeight="false" outlineLevel="0" collapsed="false">
      <c r="A28" s="5" t="s">
        <v>62</v>
      </c>
      <c r="B28" s="6" t="s">
        <v>44</v>
      </c>
      <c r="C28" s="7" t="n">
        <f aca="false">ROUND(C29*30/50,1)</f>
        <v>46.8</v>
      </c>
      <c r="D28" s="7"/>
      <c r="E28" s="7" t="n">
        <f aca="false">C28*D28</f>
        <v>0</v>
      </c>
      <c r="F28" s="5" t="s">
        <v>63</v>
      </c>
      <c r="G28" s="8" t="s">
        <v>13</v>
      </c>
    </row>
    <row r="29" customFormat="false" ht="15" hidden="false" customHeight="false" outlineLevel="0" collapsed="false">
      <c r="A29" s="5" t="s">
        <v>64</v>
      </c>
      <c r="B29" s="6" t="s">
        <v>44</v>
      </c>
      <c r="C29" s="7" t="n">
        <f aca="false">64*1.22</f>
        <v>78.08</v>
      </c>
      <c r="D29" s="7"/>
      <c r="E29" s="7" t="n">
        <f aca="false">C29*D29</f>
        <v>0</v>
      </c>
      <c r="F29" s="5" t="s">
        <v>65</v>
      </c>
      <c r="G29" s="11" t="s">
        <v>36</v>
      </c>
    </row>
    <row r="30" customFormat="false" ht="15" hidden="false" customHeight="false" outlineLevel="0" collapsed="false">
      <c r="A30" s="5" t="s">
        <v>66</v>
      </c>
      <c r="B30" s="6" t="s">
        <v>44</v>
      </c>
      <c r="C30" s="7" t="n">
        <f aca="false">C19</f>
        <v>28</v>
      </c>
      <c r="D30" s="7"/>
      <c r="E30" s="7" t="n">
        <f aca="false">C30*D30</f>
        <v>0</v>
      </c>
      <c r="F30" s="5" t="s">
        <v>67</v>
      </c>
      <c r="G30" s="8" t="s">
        <v>13</v>
      </c>
    </row>
    <row r="31" customFormat="false" ht="15" hidden="false" customHeight="false" outlineLevel="0" collapsed="false">
      <c r="A31" s="3" t="s">
        <v>68</v>
      </c>
      <c r="B31" s="4"/>
      <c r="C31" s="4"/>
      <c r="D31" s="4"/>
      <c r="E31" s="4"/>
      <c r="F31" s="4"/>
      <c r="G31" s="4"/>
    </row>
    <row r="32" customFormat="false" ht="15" hidden="false" customHeight="false" outlineLevel="0" collapsed="false">
      <c r="A32" s="5" t="s">
        <v>69</v>
      </c>
      <c r="B32" s="6" t="s">
        <v>34</v>
      </c>
      <c r="C32" s="7" t="n">
        <v>1</v>
      </c>
      <c r="D32" s="7"/>
      <c r="E32" s="7" t="n">
        <f aca="false">C32*D32</f>
        <v>0</v>
      </c>
      <c r="F32" s="5" t="s">
        <v>70</v>
      </c>
      <c r="G32" s="10" t="s">
        <v>28</v>
      </c>
    </row>
    <row r="33" customFormat="false" ht="15" hidden="false" customHeight="false" outlineLevel="0" collapsed="false">
      <c r="A33" s="5" t="s">
        <v>71</v>
      </c>
      <c r="B33" s="6" t="s">
        <v>34</v>
      </c>
      <c r="C33" s="7" t="n">
        <v>1</v>
      </c>
      <c r="D33" s="7"/>
      <c r="E33" s="7" t="n">
        <f aca="false">C33*D33</f>
        <v>0</v>
      </c>
      <c r="F33" s="5" t="s">
        <v>72</v>
      </c>
      <c r="G33" s="10" t="s">
        <v>28</v>
      </c>
    </row>
    <row r="34" customFormat="false" ht="28.35" hidden="false" customHeight="false" outlineLevel="0" collapsed="false">
      <c r="A34" s="5" t="s">
        <v>73</v>
      </c>
      <c r="B34" s="6" t="s">
        <v>34</v>
      </c>
      <c r="C34" s="7" t="n">
        <v>1</v>
      </c>
      <c r="D34" s="7"/>
      <c r="E34" s="7" t="n">
        <f aca="false">C34*D34</f>
        <v>0</v>
      </c>
      <c r="F34" s="5" t="s">
        <v>74</v>
      </c>
      <c r="G34" s="10" t="s">
        <v>28</v>
      </c>
    </row>
    <row r="35" customFormat="false" ht="15" hidden="false" customHeight="false" outlineLevel="0" collapsed="false">
      <c r="A35" s="5" t="s">
        <v>75</v>
      </c>
      <c r="B35" s="6" t="s">
        <v>76</v>
      </c>
      <c r="C35" s="7" t="n">
        <v>3</v>
      </c>
      <c r="D35" s="7"/>
      <c r="E35" s="7" t="n">
        <f aca="false">C35*D35</f>
        <v>0</v>
      </c>
      <c r="F35" s="5" t="s">
        <v>77</v>
      </c>
      <c r="G35" s="8" t="s">
        <v>13</v>
      </c>
    </row>
    <row r="36" customFormat="false" ht="15" hidden="false" customHeight="false" outlineLevel="0" collapsed="false">
      <c r="A36" s="5" t="s">
        <v>78</v>
      </c>
      <c r="B36" s="6" t="s">
        <v>76</v>
      </c>
      <c r="C36" s="7" t="n">
        <v>1</v>
      </c>
      <c r="D36" s="7"/>
      <c r="E36" s="7" t="n">
        <f aca="false">C36*D36</f>
        <v>0</v>
      </c>
      <c r="F36" s="5" t="s">
        <v>79</v>
      </c>
      <c r="G36" s="9" t="s">
        <v>19</v>
      </c>
    </row>
    <row r="37" customFormat="false" ht="15" hidden="false" customHeight="false" outlineLevel="0" collapsed="false">
      <c r="A37" s="3" t="s">
        <v>80</v>
      </c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5" t="s">
        <v>81</v>
      </c>
      <c r="B38" s="6" t="s">
        <v>82</v>
      </c>
      <c r="C38" s="7" t="n">
        <f aca="false">ROUND(0.79*145.87,0)</f>
        <v>115</v>
      </c>
      <c r="D38" s="7"/>
      <c r="E38" s="7" t="n">
        <f aca="false">C38*D38</f>
        <v>0</v>
      </c>
      <c r="F38" s="5" t="s">
        <v>83</v>
      </c>
      <c r="G38" s="8" t="s">
        <v>13</v>
      </c>
    </row>
    <row r="39" customFormat="false" ht="15" hidden="false" customHeight="false" outlineLevel="0" collapsed="false">
      <c r="A39" s="5" t="s">
        <v>84</v>
      </c>
      <c r="B39" s="6" t="s">
        <v>82</v>
      </c>
      <c r="C39" s="7" t="n">
        <f aca="false">C38</f>
        <v>115</v>
      </c>
      <c r="D39" s="7"/>
      <c r="E39" s="7" t="n">
        <f aca="false">C39*D39</f>
        <v>0</v>
      </c>
      <c r="F39" s="5" t="s">
        <v>72</v>
      </c>
      <c r="G39" s="8" t="s">
        <v>13</v>
      </c>
    </row>
    <row r="40" customFormat="false" ht="15" hidden="false" customHeight="false" outlineLevel="0" collapsed="false">
      <c r="A40" s="3" t="s">
        <v>85</v>
      </c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5" t="s">
        <v>86</v>
      </c>
      <c r="B41" s="6" t="s">
        <v>11</v>
      </c>
      <c r="C41" s="7" t="n">
        <f aca="false">Locales!J15</f>
        <v>119.29</v>
      </c>
      <c r="D41" s="7"/>
      <c r="E41" s="7" t="n">
        <f aca="false">C41*D41</f>
        <v>0</v>
      </c>
      <c r="F41" s="5" t="s">
        <v>87</v>
      </c>
      <c r="G41" s="9" t="s">
        <v>19</v>
      </c>
    </row>
    <row r="42" customFormat="false" ht="15" hidden="false" customHeight="false" outlineLevel="0" collapsed="false">
      <c r="A42" s="5" t="s">
        <v>88</v>
      </c>
      <c r="B42" s="6" t="s">
        <v>11</v>
      </c>
      <c r="C42" s="7" t="n">
        <f aca="false">Locales!K15+4</f>
        <v>56.676</v>
      </c>
      <c r="D42" s="7"/>
      <c r="E42" s="7" t="n">
        <f aca="false">C42*D42</f>
        <v>0</v>
      </c>
      <c r="F42" s="5" t="s">
        <v>89</v>
      </c>
      <c r="G42" s="8" t="s">
        <v>13</v>
      </c>
    </row>
    <row r="43" customFormat="false" ht="15" hidden="false" customHeight="false" outlineLevel="0" collapsed="false">
      <c r="A43" s="5" t="s">
        <v>90</v>
      </c>
      <c r="B43" s="6" t="s">
        <v>11</v>
      </c>
      <c r="C43" s="7" t="n">
        <f aca="false">Locales!M15</f>
        <v>23.12</v>
      </c>
      <c r="D43" s="7"/>
      <c r="E43" s="7" t="n">
        <f aca="false">C43*D43</f>
        <v>0</v>
      </c>
      <c r="F43" s="5" t="s">
        <v>91</v>
      </c>
      <c r="G43" s="8" t="s">
        <v>13</v>
      </c>
    </row>
    <row r="44" customFormat="false" ht="15" hidden="false" customHeight="false" outlineLevel="0" collapsed="false">
      <c r="A44" s="5" t="s">
        <v>92</v>
      </c>
      <c r="B44" s="6" t="s">
        <v>44</v>
      </c>
      <c r="C44" s="7" t="n">
        <f aca="false">Locales!L15</f>
        <v>76.8</v>
      </c>
      <c r="D44" s="7"/>
      <c r="E44" s="7" t="n">
        <f aca="false">C44*D44</f>
        <v>0</v>
      </c>
      <c r="F44" s="5" t="s">
        <v>93</v>
      </c>
      <c r="G44" s="9" t="s">
        <v>19</v>
      </c>
    </row>
    <row r="45" customFormat="false" ht="15" hidden="false" customHeight="false" outlineLevel="0" collapsed="false">
      <c r="A45" s="3" t="s">
        <v>94</v>
      </c>
      <c r="B45" s="4"/>
      <c r="C45" s="4"/>
      <c r="D45" s="4"/>
      <c r="E45" s="4"/>
      <c r="F45" s="4"/>
      <c r="G45" s="4"/>
    </row>
    <row r="46" customFormat="false" ht="15" hidden="false" customHeight="false" outlineLevel="0" collapsed="false">
      <c r="A46" s="5" t="s">
        <v>95</v>
      </c>
      <c r="B46" s="6" t="s">
        <v>11</v>
      </c>
      <c r="C46" s="7" t="n">
        <f aca="false">Locales!E19+Locales!E20</f>
        <v>60.77</v>
      </c>
      <c r="D46" s="7"/>
      <c r="E46" s="7" t="n">
        <f aca="false">C46*D46</f>
        <v>0</v>
      </c>
      <c r="F46" s="5" t="s">
        <v>96</v>
      </c>
      <c r="G46" s="9" t="s">
        <v>19</v>
      </c>
    </row>
    <row r="47" customFormat="false" ht="15" hidden="false" customHeight="false" outlineLevel="0" collapsed="false">
      <c r="A47" s="5" t="s">
        <v>97</v>
      </c>
      <c r="B47" s="6" t="s">
        <v>11</v>
      </c>
      <c r="C47" s="7" t="n">
        <f aca="false">Locales!E21</f>
        <v>19.25</v>
      </c>
      <c r="D47" s="7"/>
      <c r="E47" s="7" t="n">
        <f aca="false">C47*D47</f>
        <v>0</v>
      </c>
      <c r="F47" s="5" t="s">
        <v>98</v>
      </c>
      <c r="G47" s="9" t="s">
        <v>19</v>
      </c>
    </row>
    <row r="48" customFormat="false" ht="15" hidden="false" customHeight="false" outlineLevel="0" collapsed="false">
      <c r="A48" s="5" t="s">
        <v>99</v>
      </c>
      <c r="B48" s="6" t="s">
        <v>11</v>
      </c>
      <c r="C48" s="7" t="n">
        <v>0</v>
      </c>
      <c r="D48" s="7"/>
      <c r="E48" s="7" t="n">
        <f aca="false">C48*D48</f>
        <v>0</v>
      </c>
      <c r="F48" s="5" t="s">
        <v>100</v>
      </c>
      <c r="G48" s="10" t="s">
        <v>28</v>
      </c>
    </row>
    <row r="49" customFormat="false" ht="15" hidden="false" customHeight="false" outlineLevel="0" collapsed="false">
      <c r="A49" s="3" t="s">
        <v>101</v>
      </c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5" t="s">
        <v>102</v>
      </c>
      <c r="B50" s="6" t="s">
        <v>11</v>
      </c>
      <c r="C50" s="7" t="n">
        <f aca="false">Locales!H15</f>
        <v>222.404</v>
      </c>
      <c r="D50" s="7"/>
      <c r="E50" s="7" t="n">
        <f aca="false">C50*D50</f>
        <v>0</v>
      </c>
      <c r="F50" s="5" t="e">
        <f aca="false">durlock estándar (baños con revest. cerámico, sin látex)</f>
        <v>#VALUE!</v>
      </c>
      <c r="G50" s="9" t="s">
        <v>19</v>
      </c>
    </row>
    <row r="51" customFormat="false" ht="15" hidden="false" customHeight="false" outlineLevel="0" collapsed="false">
      <c r="A51" s="5" t="s">
        <v>103</v>
      </c>
      <c r="B51" s="6" t="s">
        <v>11</v>
      </c>
      <c r="C51" s="7" t="n">
        <f aca="false">145.87</f>
        <v>145.87</v>
      </c>
      <c r="D51" s="7"/>
      <c r="E51" s="7" t="n">
        <f aca="false">C51*D51</f>
        <v>0</v>
      </c>
      <c r="F51" s="5" t="s">
        <v>104</v>
      </c>
      <c r="G51" s="8" t="s">
        <v>13</v>
      </c>
    </row>
    <row r="52" customFormat="false" ht="15" hidden="false" customHeight="false" outlineLevel="0" collapsed="false">
      <c r="A52" s="3" t="s">
        <v>105</v>
      </c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5" t="s">
        <v>106</v>
      </c>
      <c r="B53" s="6" t="s">
        <v>34</v>
      </c>
      <c r="C53" s="7" t="n">
        <v>1</v>
      </c>
      <c r="D53" s="7"/>
      <c r="E53" s="7" t="n">
        <f aca="false">C53*D53</f>
        <v>0</v>
      </c>
      <c r="F53" s="5" t="s">
        <v>107</v>
      </c>
      <c r="G53" s="10" t="s">
        <v>28</v>
      </c>
    </row>
    <row r="54" customFormat="false" ht="15" hidden="false" customHeight="false" outlineLevel="0" collapsed="false">
      <c r="A54" s="5" t="s">
        <v>108</v>
      </c>
      <c r="B54" s="6" t="s">
        <v>11</v>
      </c>
      <c r="C54" s="7" t="n">
        <f aca="false">Locales!E22</f>
        <v>28</v>
      </c>
      <c r="D54" s="7"/>
      <c r="E54" s="7" t="n">
        <f aca="false">C54*D54</f>
        <v>0</v>
      </c>
      <c r="F54" s="5" t="s">
        <v>109</v>
      </c>
      <c r="G54" s="9" t="s">
        <v>19</v>
      </c>
    </row>
    <row r="55" customFormat="false" ht="15" hidden="false" customHeight="false" outlineLevel="0" collapsed="false">
      <c r="A55" s="5" t="s">
        <v>110</v>
      </c>
      <c r="B55" s="6" t="s">
        <v>44</v>
      </c>
      <c r="C55" s="7" t="n">
        <f aca="false">2*30+20.65</f>
        <v>80.65</v>
      </c>
      <c r="D55" s="7"/>
      <c r="E55" s="7" t="n">
        <f aca="false">C55*D55</f>
        <v>0</v>
      </c>
      <c r="F55" s="5" t="s">
        <v>111</v>
      </c>
      <c r="G55" s="8" t="s">
        <v>13</v>
      </c>
    </row>
    <row r="56" customFormat="false" ht="15" hidden="false" customHeight="false" outlineLevel="0" collapsed="false">
      <c r="A56" s="5" t="s">
        <v>112</v>
      </c>
      <c r="B56" s="6" t="s">
        <v>76</v>
      </c>
      <c r="C56" s="7" t="n">
        <v>1</v>
      </c>
      <c r="D56" s="7"/>
      <c r="E56" s="7" t="n">
        <f aca="false">C56*D56</f>
        <v>0</v>
      </c>
      <c r="F56" s="5" t="s">
        <v>113</v>
      </c>
      <c r="G56" s="9" t="s">
        <v>19</v>
      </c>
    </row>
    <row r="58" customFormat="false" ht="15" hidden="false" customHeight="false" outlineLevel="0" collapsed="false">
      <c r="D58" s="12" t="s">
        <v>114</v>
      </c>
      <c r="E58" s="12" t="n">
        <f aca="false">SUM(E5:E56)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70"/>
    <col collapsed="false" customWidth="true" hidden="false" outlineLevel="0" max="15" min="15" style="0" width="12"/>
  </cols>
  <sheetData>
    <row r="1" customFormat="false" ht="16.1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0" t="s">
        <v>116</v>
      </c>
    </row>
    <row r="3" customFormat="false" ht="15" hidden="false" customHeight="false" outlineLevel="0" collapsed="false">
      <c r="A3" s="0" t="s">
        <v>117</v>
      </c>
      <c r="C3" s="13" t="n">
        <v>2.6</v>
      </c>
    </row>
    <row r="5" customFormat="false" ht="28.35" hidden="false" customHeight="false" outlineLevel="0" collapsed="false">
      <c r="A5" s="2" t="s">
        <v>118</v>
      </c>
      <c r="B5" s="2" t="s">
        <v>119</v>
      </c>
      <c r="C5" s="2" t="s">
        <v>120</v>
      </c>
      <c r="D5" s="2" t="s">
        <v>121</v>
      </c>
      <c r="E5" s="2" t="s">
        <v>122</v>
      </c>
      <c r="F5" s="2" t="s">
        <v>123</v>
      </c>
      <c r="G5" s="2" t="s">
        <v>124</v>
      </c>
      <c r="H5" s="2" t="s">
        <v>125</v>
      </c>
      <c r="I5" s="2" t="s">
        <v>126</v>
      </c>
      <c r="J5" s="2" t="s">
        <v>127</v>
      </c>
      <c r="K5" s="2" t="s">
        <v>128</v>
      </c>
      <c r="L5" s="2" t="s">
        <v>129</v>
      </c>
      <c r="M5" s="2" t="s">
        <v>130</v>
      </c>
      <c r="N5" s="2" t="s">
        <v>131</v>
      </c>
      <c r="O5" s="2" t="s">
        <v>8</v>
      </c>
    </row>
    <row r="6" customFormat="false" ht="15" hidden="false" customHeight="false" outlineLevel="0" collapsed="false">
      <c r="A6" s="0" t="s">
        <v>132</v>
      </c>
      <c r="B6" s="0" t="s">
        <v>133</v>
      </c>
      <c r="C6" s="0" t="s">
        <v>134</v>
      </c>
      <c r="D6" s="13" t="n">
        <v>18.64</v>
      </c>
      <c r="E6" s="13" t="n">
        <v>20.27</v>
      </c>
      <c r="F6" s="14" t="n">
        <f aca="false">$C$3</f>
        <v>2.6</v>
      </c>
      <c r="G6" s="14" t="n">
        <f aca="false">D6*F6</f>
        <v>48.464</v>
      </c>
      <c r="H6" s="14" t="n">
        <f aca="false">G6</f>
        <v>48.464</v>
      </c>
      <c r="I6" s="0" t="n">
        <v>0</v>
      </c>
      <c r="J6" s="14" t="n">
        <f aca="false">E6</f>
        <v>20.27</v>
      </c>
      <c r="K6" s="0" t="n">
        <v>0</v>
      </c>
      <c r="L6" s="14" t="n">
        <f aca="false">D6</f>
        <v>18.64</v>
      </c>
      <c r="M6" s="0" t="n">
        <v>0</v>
      </c>
      <c r="N6" s="14" t="s">
        <v>135</v>
      </c>
      <c r="O6" s="15" t="s">
        <v>13</v>
      </c>
    </row>
    <row r="7" customFormat="false" ht="15" hidden="false" customHeight="false" outlineLevel="0" collapsed="false">
      <c r="A7" s="0" t="s">
        <v>136</v>
      </c>
      <c r="B7" s="0" t="s">
        <v>137</v>
      </c>
      <c r="C7" s="0" t="s">
        <v>134</v>
      </c>
      <c r="D7" s="13" t="n">
        <v>5.26</v>
      </c>
      <c r="E7" s="13" t="n">
        <v>1.6</v>
      </c>
      <c r="F7" s="14" t="n">
        <f aca="false">$C$3</f>
        <v>2.6</v>
      </c>
      <c r="G7" s="14" t="n">
        <f aca="false">D7*F7</f>
        <v>13.676</v>
      </c>
      <c r="H7" s="0" t="n">
        <v>0</v>
      </c>
      <c r="I7" s="14" t="n">
        <f aca="false">G7</f>
        <v>13.676</v>
      </c>
      <c r="J7" s="14" t="n">
        <f aca="false">E7</f>
        <v>1.6</v>
      </c>
      <c r="K7" s="14" t="n">
        <f aca="false">G7</f>
        <v>13.676</v>
      </c>
      <c r="L7" s="0" t="n">
        <v>0</v>
      </c>
      <c r="M7" s="0" t="n">
        <v>0</v>
      </c>
      <c r="N7" s="14" t="s">
        <v>138</v>
      </c>
      <c r="O7" s="16" t="s">
        <v>19</v>
      </c>
    </row>
    <row r="8" customFormat="false" ht="15" hidden="false" customHeight="false" outlineLevel="0" collapsed="false">
      <c r="A8" s="0" t="s">
        <v>139</v>
      </c>
      <c r="B8" s="0" t="s">
        <v>140</v>
      </c>
      <c r="C8" s="0" t="s">
        <v>134</v>
      </c>
      <c r="D8" s="13" t="n">
        <v>8.74</v>
      </c>
      <c r="E8" s="13" t="n">
        <v>2.6</v>
      </c>
      <c r="F8" s="14" t="n">
        <f aca="false">$C$3</f>
        <v>2.6</v>
      </c>
      <c r="G8" s="14" t="n">
        <f aca="false">D8*F8</f>
        <v>22.724</v>
      </c>
      <c r="H8" s="14" t="n">
        <f aca="false">G8</f>
        <v>22.724</v>
      </c>
      <c r="I8" s="0" t="n">
        <v>0</v>
      </c>
      <c r="J8" s="14" t="n">
        <f aca="false">E8</f>
        <v>2.6</v>
      </c>
      <c r="K8" s="0" t="n">
        <v>0</v>
      </c>
      <c r="L8" s="0" t="n">
        <v>0</v>
      </c>
      <c r="M8" s="0" t="n">
        <v>0</v>
      </c>
      <c r="N8" s="14" t="s">
        <v>141</v>
      </c>
      <c r="O8" s="16" t="s">
        <v>19</v>
      </c>
    </row>
    <row r="9" customFormat="false" ht="15" hidden="false" customHeight="false" outlineLevel="0" collapsed="false">
      <c r="A9" s="0" t="s">
        <v>142</v>
      </c>
      <c r="B9" s="0" t="s">
        <v>143</v>
      </c>
      <c r="C9" s="0" t="s">
        <v>134</v>
      </c>
      <c r="D9" s="13" t="n">
        <v>8.54</v>
      </c>
      <c r="E9" s="13" t="n">
        <v>4.33</v>
      </c>
      <c r="F9" s="14" t="n">
        <f aca="false">$C$3</f>
        <v>2.6</v>
      </c>
      <c r="G9" s="14" t="n">
        <f aca="false">D9*F9</f>
        <v>22.204</v>
      </c>
      <c r="H9" s="0" t="n">
        <v>0</v>
      </c>
      <c r="I9" s="14" t="n">
        <f aca="false">G9</f>
        <v>22.204</v>
      </c>
      <c r="J9" s="14" t="n">
        <f aca="false">E9</f>
        <v>4.33</v>
      </c>
      <c r="K9" s="0" t="n">
        <v>0</v>
      </c>
      <c r="L9" s="0" t="n">
        <v>0</v>
      </c>
      <c r="M9" s="0" t="n">
        <v>0</v>
      </c>
      <c r="N9" s="14" t="s">
        <v>144</v>
      </c>
      <c r="O9" s="16" t="s">
        <v>19</v>
      </c>
    </row>
    <row r="10" customFormat="false" ht="15" hidden="false" customHeight="false" outlineLevel="0" collapsed="false">
      <c r="A10" s="0" t="s">
        <v>145</v>
      </c>
      <c r="B10" s="0" t="s">
        <v>146</v>
      </c>
      <c r="C10" s="0" t="s">
        <v>134</v>
      </c>
      <c r="D10" s="13" t="n">
        <v>31.4</v>
      </c>
      <c r="E10" s="13" t="n">
        <v>61.17</v>
      </c>
      <c r="F10" s="14" t="n">
        <f aca="false">$C$3</f>
        <v>2.6</v>
      </c>
      <c r="G10" s="14" t="n">
        <f aca="false">D10*F10</f>
        <v>81.64</v>
      </c>
      <c r="H10" s="14" t="n">
        <f aca="false">G10</f>
        <v>81.64</v>
      </c>
      <c r="I10" s="0" t="n">
        <v>0</v>
      </c>
      <c r="J10" s="14" t="n">
        <f aca="false">E10</f>
        <v>61.17</v>
      </c>
      <c r="K10" s="0" t="n">
        <v>0</v>
      </c>
      <c r="L10" s="14" t="n">
        <f aca="false">D10</f>
        <v>31.4</v>
      </c>
      <c r="M10" s="0" t="n">
        <v>0</v>
      </c>
      <c r="N10" s="14" t="s">
        <v>147</v>
      </c>
      <c r="O10" s="15" t="s">
        <v>13</v>
      </c>
    </row>
    <row r="11" customFormat="false" ht="15" hidden="false" customHeight="false" outlineLevel="0" collapsed="false">
      <c r="A11" s="0" t="s">
        <v>148</v>
      </c>
      <c r="B11" s="0" t="s">
        <v>149</v>
      </c>
      <c r="C11" s="0" t="s">
        <v>134</v>
      </c>
      <c r="D11" s="13" t="n">
        <v>7.5</v>
      </c>
      <c r="E11" s="13" t="n">
        <v>3.5</v>
      </c>
      <c r="F11" s="14" t="n">
        <f aca="false">$C$3</f>
        <v>2.6</v>
      </c>
      <c r="G11" s="14" t="n">
        <f aca="false">D11*F11</f>
        <v>19.5</v>
      </c>
      <c r="H11" s="0" t="n">
        <v>0</v>
      </c>
      <c r="I11" s="14" t="n">
        <f aca="false">G11</f>
        <v>19.5</v>
      </c>
      <c r="J11" s="14" t="n">
        <f aca="false">E11</f>
        <v>3.5</v>
      </c>
      <c r="K11" s="14" t="n">
        <f aca="false">G11</f>
        <v>19.5</v>
      </c>
      <c r="L11" s="0" t="n">
        <v>0</v>
      </c>
      <c r="M11" s="0" t="n">
        <v>11.56</v>
      </c>
      <c r="N11" s="14" t="s">
        <v>150</v>
      </c>
      <c r="O11" s="16" t="s">
        <v>19</v>
      </c>
    </row>
    <row r="12" customFormat="false" ht="15" hidden="false" customHeight="false" outlineLevel="0" collapsed="false">
      <c r="A12" s="0" t="s">
        <v>151</v>
      </c>
      <c r="B12" s="0" t="s">
        <v>152</v>
      </c>
      <c r="C12" s="0" t="s">
        <v>134</v>
      </c>
      <c r="D12" s="13" t="n">
        <v>7.5</v>
      </c>
      <c r="E12" s="13" t="n">
        <v>3.5</v>
      </c>
      <c r="F12" s="14" t="n">
        <f aca="false">$C$3</f>
        <v>2.6</v>
      </c>
      <c r="G12" s="14" t="n">
        <f aca="false">D12*F12</f>
        <v>19.5</v>
      </c>
      <c r="H12" s="0" t="n">
        <v>0</v>
      </c>
      <c r="I12" s="14" t="n">
        <f aca="false">G12</f>
        <v>19.5</v>
      </c>
      <c r="J12" s="14" t="n">
        <f aca="false">E12</f>
        <v>3.5</v>
      </c>
      <c r="K12" s="14" t="n">
        <f aca="false">G12</f>
        <v>19.5</v>
      </c>
      <c r="L12" s="0" t="n">
        <v>0</v>
      </c>
      <c r="M12" s="0" t="n">
        <v>11.56</v>
      </c>
      <c r="N12" s="14" t="s">
        <v>150</v>
      </c>
      <c r="O12" s="16" t="s">
        <v>19</v>
      </c>
    </row>
    <row r="13" customFormat="false" ht="15" hidden="false" customHeight="false" outlineLevel="0" collapsed="false">
      <c r="A13" s="0" t="s">
        <v>153</v>
      </c>
      <c r="B13" s="0" t="s">
        <v>154</v>
      </c>
      <c r="C13" s="0" t="s">
        <v>134</v>
      </c>
      <c r="D13" s="13" t="n">
        <v>13.38</v>
      </c>
      <c r="E13" s="13" t="n">
        <v>11.16</v>
      </c>
      <c r="F13" s="14" t="n">
        <f aca="false">$C$3</f>
        <v>2.6</v>
      </c>
      <c r="G13" s="14" t="n">
        <f aca="false">D13*F13</f>
        <v>34.788</v>
      </c>
      <c r="H13" s="14" t="n">
        <f aca="false">G13</f>
        <v>34.788</v>
      </c>
      <c r="I13" s="0" t="n">
        <v>0</v>
      </c>
      <c r="J13" s="14" t="n">
        <f aca="false">E13</f>
        <v>11.16</v>
      </c>
      <c r="K13" s="0" t="n">
        <v>0</v>
      </c>
      <c r="L13" s="14" t="n">
        <f aca="false">D13</f>
        <v>13.38</v>
      </c>
      <c r="M13" s="0" t="n">
        <v>0</v>
      </c>
      <c r="N13" s="14" t="s">
        <v>155</v>
      </c>
      <c r="O13" s="16" t="s">
        <v>19</v>
      </c>
    </row>
    <row r="14" customFormat="false" ht="15" hidden="false" customHeight="false" outlineLevel="0" collapsed="false">
      <c r="A14" s="0" t="s">
        <v>156</v>
      </c>
      <c r="B14" s="0" t="s">
        <v>157</v>
      </c>
      <c r="C14" s="0" t="s">
        <v>134</v>
      </c>
      <c r="D14" s="13" t="n">
        <v>13.38</v>
      </c>
      <c r="E14" s="13" t="n">
        <v>11.16</v>
      </c>
      <c r="F14" s="14" t="n">
        <f aca="false">$C$3</f>
        <v>2.6</v>
      </c>
      <c r="G14" s="14" t="n">
        <f aca="false">D14*F14</f>
        <v>34.788</v>
      </c>
      <c r="H14" s="14" t="n">
        <f aca="false">G14</f>
        <v>34.788</v>
      </c>
      <c r="I14" s="0" t="n">
        <v>0</v>
      </c>
      <c r="J14" s="14" t="n">
        <f aca="false">E14</f>
        <v>11.16</v>
      </c>
      <c r="K14" s="0" t="n">
        <v>0</v>
      </c>
      <c r="L14" s="14" t="n">
        <f aca="false">D14</f>
        <v>13.38</v>
      </c>
      <c r="M14" s="0" t="n">
        <v>0</v>
      </c>
      <c r="N14" s="14" t="s">
        <v>155</v>
      </c>
      <c r="O14" s="16" t="s">
        <v>19</v>
      </c>
    </row>
    <row r="15" customFormat="false" ht="15" hidden="false" customHeight="false" outlineLevel="0" collapsed="false">
      <c r="A15" s="4"/>
      <c r="B15" s="3" t="s">
        <v>158</v>
      </c>
      <c r="C15" s="4"/>
      <c r="D15" s="3" t="n">
        <f aca="false">SUM(D6:D14)</f>
        <v>114.34</v>
      </c>
      <c r="E15" s="3" t="n">
        <f aca="false">SUM(E6:E14)</f>
        <v>119.29</v>
      </c>
      <c r="F15" s="4"/>
      <c r="G15" s="3" t="n">
        <f aca="false">SUM(G6:G14)</f>
        <v>297.284</v>
      </c>
      <c r="H15" s="3" t="n">
        <f aca="false">SUM(H6:H14)</f>
        <v>222.404</v>
      </c>
      <c r="I15" s="3" t="n">
        <f aca="false">SUM(I6:I14)</f>
        <v>74.88</v>
      </c>
      <c r="J15" s="3" t="n">
        <f aca="false">SUM(J6:J14)</f>
        <v>119.29</v>
      </c>
      <c r="K15" s="3" t="n">
        <f aca="false">SUM(K6:K14)</f>
        <v>52.676</v>
      </c>
      <c r="L15" s="3" t="n">
        <f aca="false">SUM(L6:L14)</f>
        <v>76.8</v>
      </c>
      <c r="M15" s="3" t="n">
        <f aca="false">SUM(M6:M14)</f>
        <v>23.12</v>
      </c>
      <c r="N15" s="4"/>
      <c r="O15" s="4"/>
    </row>
    <row r="17" customFormat="false" ht="15" hidden="false" customHeight="false" outlineLevel="0" collapsed="false">
      <c r="B17" s="12" t="s">
        <v>159</v>
      </c>
    </row>
    <row r="18" customFormat="false" ht="28.35" hidden="false" customHeight="false" outlineLevel="0" collapsed="false">
      <c r="A18" s="2" t="s">
        <v>118</v>
      </c>
      <c r="B18" s="2" t="s">
        <v>160</v>
      </c>
      <c r="C18" s="2" t="s">
        <v>120</v>
      </c>
      <c r="D18" s="2" t="s">
        <v>121</v>
      </c>
      <c r="E18" s="2" t="s">
        <v>122</v>
      </c>
      <c r="F18" s="2"/>
      <c r="G18" s="2"/>
      <c r="H18" s="2"/>
      <c r="I18" s="2"/>
      <c r="J18" s="2"/>
      <c r="K18" s="2"/>
      <c r="L18" s="2"/>
      <c r="M18" s="2"/>
      <c r="N18" s="2" t="s">
        <v>131</v>
      </c>
      <c r="O18" s="2" t="s">
        <v>8</v>
      </c>
    </row>
    <row r="19" customFormat="false" ht="15" hidden="false" customHeight="false" outlineLevel="0" collapsed="false">
      <c r="A19" s="0" t="s">
        <v>161</v>
      </c>
      <c r="B19" s="0" t="s">
        <v>162</v>
      </c>
      <c r="C19" s="0" t="s">
        <v>163</v>
      </c>
      <c r="D19" s="13" t="n">
        <v>21.5</v>
      </c>
      <c r="E19" s="13" t="n">
        <v>26.22</v>
      </c>
      <c r="N19" s="14" t="s">
        <v>164</v>
      </c>
      <c r="O19" s="16" t="s">
        <v>19</v>
      </c>
    </row>
    <row r="20" customFormat="false" ht="15" hidden="false" customHeight="false" outlineLevel="0" collapsed="false">
      <c r="A20" s="0" t="s">
        <v>165</v>
      </c>
      <c r="B20" s="0" t="s">
        <v>166</v>
      </c>
      <c r="C20" s="0" t="s">
        <v>163</v>
      </c>
      <c r="D20" s="13" t="n">
        <v>23.62</v>
      </c>
      <c r="E20" s="13" t="n">
        <v>34.55</v>
      </c>
      <c r="N20" s="14" t="s">
        <v>167</v>
      </c>
      <c r="O20" s="16" t="s">
        <v>19</v>
      </c>
    </row>
    <row r="21" customFormat="false" ht="15" hidden="false" customHeight="false" outlineLevel="0" collapsed="false">
      <c r="A21" s="0" t="s">
        <v>168</v>
      </c>
      <c r="B21" s="0" t="s">
        <v>169</v>
      </c>
      <c r="C21" s="0" t="s">
        <v>170</v>
      </c>
      <c r="D21" s="13" t="n">
        <v>29</v>
      </c>
      <c r="E21" s="13" t="n">
        <v>19.25</v>
      </c>
      <c r="N21" s="14" t="s">
        <v>171</v>
      </c>
      <c r="O21" s="16" t="s">
        <v>19</v>
      </c>
    </row>
    <row r="22" customFormat="false" ht="15" hidden="false" customHeight="false" outlineLevel="0" collapsed="false">
      <c r="A22" s="0" t="s">
        <v>172</v>
      </c>
      <c r="B22" s="0" t="s">
        <v>173</v>
      </c>
      <c r="C22" s="0" t="s">
        <v>170</v>
      </c>
      <c r="D22" s="13" t="n">
        <v>23</v>
      </c>
      <c r="E22" s="13" t="n">
        <v>28</v>
      </c>
      <c r="N22" s="14" t="s">
        <v>174</v>
      </c>
      <c r="O22" s="16" t="s">
        <v>19</v>
      </c>
    </row>
    <row r="24" customFormat="false" ht="15" hidden="false" customHeight="false" outlineLevel="0" collapsed="false">
      <c r="B24" s="12" t="s">
        <v>175</v>
      </c>
    </row>
    <row r="25" customFormat="false" ht="15" hidden="false" customHeight="false" outlineLevel="0" collapsed="false">
      <c r="B25" s="0" t="s">
        <v>176</v>
      </c>
      <c r="E25" s="0" t="n">
        <f aca="false">E15</f>
        <v>119.29</v>
      </c>
    </row>
    <row r="26" customFormat="false" ht="15" hidden="false" customHeight="false" outlineLevel="0" collapsed="false">
      <c r="B26" s="0" t="s">
        <v>177</v>
      </c>
      <c r="E26" s="0" t="n">
        <v>145.87</v>
      </c>
    </row>
    <row r="27" customFormat="false" ht="15" hidden="false" customHeight="false" outlineLevel="0" collapsed="false">
      <c r="B27" s="0" t="s">
        <v>178</v>
      </c>
      <c r="E27" s="0" t="n">
        <f aca="false">E26-E25</f>
        <v>26.58</v>
      </c>
    </row>
    <row r="28" customFormat="false" ht="15" hidden="false" customHeight="false" outlineLevel="0" collapsed="false">
      <c r="B28" s="0" t="s">
        <v>179</v>
      </c>
      <c r="E28" s="0" t="n">
        <v>63.55</v>
      </c>
    </row>
    <row r="29" customFormat="false" ht="15" hidden="false" customHeight="false" outlineLevel="0" collapsed="false">
      <c r="B29" s="0" t="s">
        <v>180</v>
      </c>
      <c r="E29" s="0" t="n">
        <f aca="false">E19+E20</f>
        <v>60.77</v>
      </c>
    </row>
    <row r="30" customFormat="false" ht="15" hidden="false" customHeight="false" outlineLevel="0" collapsed="false">
      <c r="B30" s="0" t="s">
        <v>181</v>
      </c>
      <c r="E30" s="0" t="n">
        <f aca="false">E26+E28</f>
        <v>209.42</v>
      </c>
    </row>
    <row r="31" customFormat="false" ht="15" hidden="false" customHeight="false" outlineLevel="0" collapsed="false">
      <c r="B31" s="0" t="s">
        <v>182</v>
      </c>
      <c r="E31" s="0" t="n">
        <v>140.3</v>
      </c>
    </row>
    <row r="32" customFormat="false" ht="15" hidden="false" customHeight="false" outlineLevel="0" collapsed="false">
      <c r="B32" s="0" t="s">
        <v>183</v>
      </c>
      <c r="E32" s="0" t="n">
        <v>23.7</v>
      </c>
    </row>
    <row r="33" customFormat="false" ht="15" hidden="false" customHeight="false" outlineLevel="0" collapsed="false">
      <c r="B33" s="0" t="s">
        <v>184</v>
      </c>
      <c r="E33" s="0" t="n">
        <f aca="false">E28-E32</f>
        <v>39.85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" t="s">
        <v>185</v>
      </c>
    </row>
    <row r="3" customFormat="false" ht="28.35" hidden="false" customHeight="false" outlineLevel="0" collapsed="false">
      <c r="A3" s="2" t="s">
        <v>186</v>
      </c>
      <c r="B3" s="2" t="s">
        <v>187</v>
      </c>
      <c r="C3" s="2" t="s">
        <v>188</v>
      </c>
      <c r="D3" s="2" t="s">
        <v>189</v>
      </c>
      <c r="E3" s="2" t="s">
        <v>190</v>
      </c>
      <c r="F3" s="2" t="s">
        <v>191</v>
      </c>
      <c r="G3" s="2" t="s">
        <v>192</v>
      </c>
      <c r="H3" s="2" t="s">
        <v>193</v>
      </c>
    </row>
    <row r="4" customFormat="false" ht="15" hidden="false" customHeight="false" outlineLevel="0" collapsed="false">
      <c r="A4" s="0" t="s">
        <v>194</v>
      </c>
      <c r="B4" s="0" t="s">
        <v>195</v>
      </c>
      <c r="C4" s="0" t="n">
        <v>64</v>
      </c>
      <c r="D4" s="0" t="s">
        <v>196</v>
      </c>
      <c r="E4" s="0" t="n">
        <f aca="false">C4*1.22</f>
        <v>78.08</v>
      </c>
      <c r="F4" s="0" t="n">
        <f aca="false">C4*1.22*2.44</f>
        <v>190.5152</v>
      </c>
      <c r="G4" s="0" t="n">
        <v>191.97</v>
      </c>
      <c r="H4" s="0" t="n">
        <v>12286.08</v>
      </c>
    </row>
    <row r="5" customFormat="false" ht="15" hidden="false" customHeight="false" outlineLevel="0" collapsed="false">
      <c r="A5" s="0" t="s">
        <v>194</v>
      </c>
      <c r="B5" s="0" t="s">
        <v>197</v>
      </c>
      <c r="C5" s="0" t="n">
        <v>56</v>
      </c>
      <c r="D5" s="0" t="s">
        <v>196</v>
      </c>
      <c r="E5" s="0" t="n">
        <f aca="false">C5*1.22</f>
        <v>68.32</v>
      </c>
      <c r="F5" s="0" t="n">
        <f aca="false">C5*1.22*2.44</f>
        <v>166.7008</v>
      </c>
      <c r="G5" s="0" t="n">
        <v>173.86</v>
      </c>
      <c r="H5" s="0" t="n">
        <v>9736.16</v>
      </c>
    </row>
    <row r="6" customFormat="false" ht="15" hidden="false" customHeight="false" outlineLevel="0" collapsed="false">
      <c r="A6" s="0" t="s">
        <v>198</v>
      </c>
      <c r="B6" s="0" t="s">
        <v>199</v>
      </c>
      <c r="C6" s="0" t="n">
        <v>46</v>
      </c>
      <c r="D6" s="0" t="s">
        <v>200</v>
      </c>
      <c r="E6" s="0" t="n">
        <f aca="false">C6*2.44</f>
        <v>112.24</v>
      </c>
      <c r="G6" s="0" t="n">
        <v>14.91</v>
      </c>
      <c r="H6" s="0" t="n">
        <v>685.86</v>
      </c>
    </row>
    <row r="7" customFormat="false" ht="15" hidden="false" customHeight="false" outlineLevel="0" collapsed="false">
      <c r="A7" s="0" t="s">
        <v>201</v>
      </c>
      <c r="B7" s="0" t="s">
        <v>202</v>
      </c>
      <c r="C7" s="0" t="n">
        <v>13</v>
      </c>
      <c r="D7" s="0" t="s">
        <v>196</v>
      </c>
      <c r="E7" s="0" t="n">
        <f aca="false">C7*1.22</f>
        <v>15.86</v>
      </c>
      <c r="F7" s="0" t="n">
        <f aca="false">C7*1.22*2.44</f>
        <v>38.6984</v>
      </c>
      <c r="G7" s="0" t="n">
        <v>149.45</v>
      </c>
      <c r="H7" s="0" t="n">
        <v>1942.85</v>
      </c>
    </row>
    <row r="8" customFormat="false" ht="15" hidden="false" customHeight="false" outlineLevel="0" collapsed="false">
      <c r="A8" s="0" t="s">
        <v>203</v>
      </c>
      <c r="B8" s="0" t="s">
        <v>204</v>
      </c>
      <c r="C8" s="0" t="n">
        <v>137</v>
      </c>
      <c r="D8" s="0" t="s">
        <v>205</v>
      </c>
      <c r="F8" s="0" t="n">
        <f aca="false">C8*0.6*2.4</f>
        <v>197.28</v>
      </c>
      <c r="G8" s="0" t="n">
        <v>67.15</v>
      </c>
      <c r="H8" s="0" t="n">
        <v>9199.55</v>
      </c>
    </row>
    <row r="10" customFormat="false" ht="15" hidden="false" customHeight="false" outlineLevel="0" collapsed="false">
      <c r="G10" s="0" t="s">
        <v>206</v>
      </c>
      <c r="H10" s="0" t="n">
        <f aca="false">SUM(H4:H8)</f>
        <v>33850.5</v>
      </c>
    </row>
    <row r="11" customFormat="false" ht="15" hidden="false" customHeight="false" outlineLevel="0" collapsed="false">
      <c r="G11" s="0" t="s">
        <v>207</v>
      </c>
      <c r="H11" s="0" t="n">
        <f aca="false">H10*0.21</f>
        <v>7108.605</v>
      </c>
    </row>
    <row r="12" customFormat="false" ht="15" hidden="false" customHeight="false" outlineLevel="0" collapsed="false">
      <c r="G12" s="0" t="s">
        <v>208</v>
      </c>
      <c r="H12" s="0" t="n">
        <f aca="false">H10+H11</f>
        <v>40959.105</v>
      </c>
    </row>
    <row r="13" customFormat="false" ht="15" hidden="false" customHeight="false" outlineLevel="0" collapsed="false">
      <c r="G13" s="0" t="s">
        <v>209</v>
      </c>
      <c r="H13" s="0" t="n">
        <v>1530</v>
      </c>
    </row>
    <row r="14" customFormat="false" ht="15" hidden="false" customHeight="false" outlineLevel="0" collapsed="false">
      <c r="G14" s="0" t="s">
        <v>210</v>
      </c>
      <c r="H14" s="0" t="n">
        <f aca="false">H12*H13</f>
        <v>62667430.65</v>
      </c>
    </row>
    <row r="16" customFormat="false" ht="15" hidden="false" customHeight="false" outlineLevel="0" collapsed="false">
      <c r="A16" s="12" t="s">
        <v>211</v>
      </c>
    </row>
    <row r="17" customFormat="false" ht="15" hidden="false" customHeight="false" outlineLevel="0" collapsed="false">
      <c r="A17" s="0" t="s">
        <v>212</v>
      </c>
    </row>
    <row r="18" customFormat="false" ht="15" hidden="false" customHeight="false" outlineLevel="0" collapsed="false">
      <c r="A18" s="0" t="s">
        <v>213</v>
      </c>
    </row>
    <row r="19" customFormat="false" ht="15" hidden="false" customHeight="false" outlineLevel="0" collapsed="false">
      <c r="A19" s="0" t="s">
        <v>214</v>
      </c>
    </row>
    <row r="20" customFormat="false" ht="15" hidden="false" customHeight="false" outlineLevel="0" collapsed="false">
      <c r="A20" s="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216</v>
      </c>
    </row>
    <row r="3" customFormat="false" ht="15" hidden="false" customHeight="false" outlineLevel="0" collapsed="false">
      <c r="A3" s="0" t="s">
        <v>217</v>
      </c>
    </row>
    <row r="4" customFormat="false" ht="15" hidden="false" customHeight="false" outlineLevel="0" collapsed="false">
      <c r="A4" s="0" t="s">
        <v>218</v>
      </c>
    </row>
    <row r="5" customFormat="false" ht="15" hidden="false" customHeight="false" outlineLevel="0" collapsed="false">
      <c r="A5" s="0" t="s">
        <v>219</v>
      </c>
    </row>
    <row r="6" customFormat="false" ht="15" hidden="false" customHeight="false" outlineLevel="0" collapsed="false">
      <c r="A6" s="0" t="s">
        <v>220</v>
      </c>
    </row>
    <row r="7" customFormat="false" ht="15" hidden="false" customHeight="false" outlineLevel="0" collapsed="false">
      <c r="A7" s="0" t="s">
        <v>221</v>
      </c>
    </row>
    <row r="8" customFormat="false" ht="15" hidden="false" customHeight="false" outlineLevel="0" collapsed="false">
      <c r="A8" s="0" t="s">
        <v>222</v>
      </c>
    </row>
    <row r="9" customFormat="false" ht="15" hidden="false" customHeight="false" outlineLevel="0" collapsed="false">
      <c r="A9" s="0" t="s">
        <v>223</v>
      </c>
    </row>
    <row r="10" customFormat="false" ht="15" hidden="false" customHeight="false" outlineLevel="0" collapsed="false">
      <c r="A10" s="0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2026-10-14T15:13:25Z</dcterms:created>
  <dc:creator>openpyxl</dc:creator>
  <dc:description/>
  <dc:language>en-US</dc:language>
  <cp:lastModifiedBy/>
  <dcterms:modified xsi:type="dcterms:W3CDTF">2026-10-14T15:13:25Z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