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Detalle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<sst xmlns="http://schemas.openxmlformats.org/spreadsheetml/2006/main" count="607" uniqueCount="85">
  <si>
    <t xml:space="preserve">CÓMPUTO DE BOCAS POR TIPO - Plano A20 REP ELEC PB (Santa Paula / Maldonado)</t>
  </si>
  <si>
    <t xml:space="preserve">Conteo automático de símbolos del DXF, validado contra la leyenda del plano. Las celdas se calculan desde la hoja Detalle (se puede corregir ahí). Unidades = piezas (tomas dobles cuentan 2).</t>
  </si>
  <si>
    <t xml:space="preserve">Tipo de boca</t>
  </si>
  <si>
    <t xml:space="preserve">Categoría</t>
  </si>
  <si>
    <t xml:space="preserve">01 Dormitorio 1 (c/vestidor)</t>
  </si>
  <si>
    <t xml:space="preserve">02 Baño (toilette)</t>
  </si>
  <si>
    <t xml:space="preserve">03 Depósito</t>
  </si>
  <si>
    <t xml:space="preserve">04 Lavadero</t>
  </si>
  <si>
    <t xml:space="preserve">05 Cocina-Living-Comedor</t>
  </si>
  <si>
    <t xml:space="preserve">06 Baño 1</t>
  </si>
  <si>
    <t xml:space="preserve">07 Baño 2</t>
  </si>
  <si>
    <t xml:space="preserve">08 Dormitorio 2</t>
  </si>
  <si>
    <t xml:space="preserve">09 Dormitorio 3</t>
  </si>
  <si>
    <t xml:space="preserve">10 Galería</t>
  </si>
  <si>
    <t xml:space="preserve">11 Cochera</t>
  </si>
  <si>
    <t xml:space="preserve">Exterior / fachada (reflectores)</t>
  </si>
  <si>
    <t xml:space="preserve">Exterior / otros</t>
  </si>
  <si>
    <t xml:space="preserve">TOTAL</t>
  </si>
  <si>
    <t xml:space="preserve">Dicro en cielorraso</t>
  </si>
  <si>
    <t xml:space="preserve">Iluminación</t>
  </si>
  <si>
    <t xml:space="preserve">Boca sobre pared</t>
  </si>
  <si>
    <t xml:space="preserve">Ventilador de techo (boca en losa)</t>
  </si>
  <si>
    <t xml:space="preserve">Toma eléctrico</t>
  </si>
  <si>
    <t xml:space="preserve">Tomas</t>
  </si>
  <si>
    <t xml:space="preserve">Toma para AA (h variable)</t>
  </si>
  <si>
    <t xml:space="preserve">Tomas AA</t>
  </si>
  <si>
    <t xml:space="preserve">Toma exterior</t>
  </si>
  <si>
    <t xml:space="preserve">Toma para bomba de pileta</t>
  </si>
  <si>
    <t xml:space="preserve">Boca de TV</t>
  </si>
  <si>
    <t xml:space="preserve">Corrientes débiles</t>
  </si>
  <si>
    <t xml:space="preserve">Boca router</t>
  </si>
  <si>
    <t xml:space="preserve">Boca timbre</t>
  </si>
  <si>
    <t xml:space="preserve">Termostato</t>
  </si>
  <si>
    <t xml:space="preserve">Otros</t>
  </si>
  <si>
    <t xml:space="preserve">Tablero eléctrico</t>
  </si>
  <si>
    <t xml:space="preserve">Caja de acceso internet 15x15</t>
  </si>
  <si>
    <t xml:space="preserve">RESUMEN POR CATEGORÍA (mismo criterio que Aura: Ilum / Tomas / AA / Corr. débiles)</t>
  </si>
  <si>
    <t xml:space="preserve">TOTAL piezas</t>
  </si>
  <si>
    <t xml:space="preserve">Cajas/bocas de toma (cajas rectangulares, dobles = 1)</t>
  </si>
  <si>
    <t xml:space="preserve">Bocas totales contando cajas (Ilum + cajas de toma + AA + CD)</t>
  </si>
  <si>
    <t xml:space="preserve">Superficie cubierta plano municipal (m²)</t>
  </si>
  <si>
    <t xml:space="preserve">Bocas por m² cubierto</t>
  </si>
  <si>
    <t xml:space="preserve">Ref. Aura: 54 bocas / 68 m² = 0,79 por m². Estimado previo del cómputo (ratio): 115 bocas</t>
  </si>
  <si>
    <t xml:space="preserve">N°</t>
  </si>
  <si>
    <t xml:space="preserve">Cant. (piezas)</t>
  </si>
  <si>
    <t xml:space="preserve">Local</t>
  </si>
  <si>
    <t xml:space="preserve">Circuito (letra plano)</t>
  </si>
  <si>
    <t xml:space="preserve">X (m)</t>
  </si>
  <si>
    <t xml:space="preserve">Y (m)</t>
  </si>
  <si>
    <t xml:space="preserve">D</t>
  </si>
  <si>
    <t xml:space="preserve">A</t>
  </si>
  <si>
    <t xml:space="preserve">C</t>
  </si>
  <si>
    <t xml:space="preserve">?</t>
  </si>
  <si>
    <t xml:space="preserve">S</t>
  </si>
  <si>
    <t xml:space="preserve">B</t>
  </si>
  <si>
    <t xml:space="preserve">F</t>
  </si>
  <si>
    <t xml:space="preserve">E</t>
  </si>
  <si>
    <t xml:space="preserve">I</t>
  </si>
  <si>
    <t xml:space="preserve">L</t>
  </si>
  <si>
    <t xml:space="preserve">M</t>
  </si>
  <si>
    <t xml:space="preserve">X</t>
  </si>
  <si>
    <t xml:space="preserve">R</t>
  </si>
  <si>
    <t xml:space="preserve">Q</t>
  </si>
  <si>
    <t xml:space="preserve">G</t>
  </si>
  <si>
    <t xml:space="preserve">G*</t>
  </si>
  <si>
    <t xml:space="preserve">H</t>
  </si>
  <si>
    <t xml:space="preserve">H*</t>
  </si>
  <si>
    <t xml:space="preserve">J</t>
  </si>
  <si>
    <t xml:space="preserve">K</t>
  </si>
  <si>
    <t xml:space="preserve">N</t>
  </si>
  <si>
    <t xml:space="preserve">Z</t>
  </si>
  <si>
    <t xml:space="preserve">P</t>
  </si>
  <si>
    <t xml:space="preserve">F*</t>
  </si>
  <si>
    <t xml:space="preserve">O</t>
  </si>
  <si>
    <t xml:space="preserve">-</t>
  </si>
  <si>
    <t xml:space="preserve">NOTAS Y PUNTOS A VERIFICAR</t>
  </si>
  <si>
    <t xml:space="preserve">1. Fuente: DXF "A20 REP ELEC PB Computo Bocas". Símbolos explotados (sin bloques): se clasificaron por geometría según la leyenda (dicro = punto con anillo; boca sobre pared = punto con trazo; tomas = símbolo en Y; TV/Router/Timbre/Termostato = círculo con sigla).</t>
  </si>
  <si>
    <t xml:space="preserve">2. Dicro en cielorraso: 45. Boca sobre pared: 23, de las cuales 11 son reflectores exteriores (letra R, incluye "futura conexión rampa"). No hay bocas en losa sin dicro, ni cámaras de seguridad en el plano.</t>
  </si>
  <si>
    <t xml:space="preserve">3. Tomas: cada símbolo en Y es una pieza; los pares superpuestos son tomas dobles (1 caja con 2 tomas). Verificar con el unifilar si son circuitos separados.</t>
  </si>
  <si>
    <t xml:space="preserve">4. Toma para AA: 4 (dormitorios 1, 2 y 3 a h=2,20 m y living a h=3,00 m). Toma exterior: 4. Toma para bomba de pileta: 1.</t>
  </si>
  <si>
    <t xml:space="preserve">5. Ventiladores de techo: 4 (círculos de 0,60 m, 2 en living y 2 en galería); se contaron como boca de iluminación en losa.</t>
  </si>
  <si>
    <t xml:space="preserve">6. Asignación a locales por coordenadas (cuadrículas A-E / 1-5 del plano). Los tomas del depósito (x&lt;0,68) y del pasillo entre baños y muro C deberían confirmarse en obra. "Exterior / otros" incluye caja de acceso internet y tomas/bomba fuera del edificio.</t>
  </si>
  <si>
    <t xml:space="preserve">7. Tablero eléctrico (h 1,00 m) y caja de acceso a internet 15x15 (h 0,30 m) se cargaron manualmente desde las anotaciones del plano.</t>
  </si>
  <si>
    <t xml:space="preserve">8. Alturas: figuran como texto en el plano (h 0,70 / 1,00 / 1,20 / 1,40 / 1,80 / 2,20 / 3,00 m) y no se incorporaron al conteo.</t>
  </si>
  <si>
    <t xml:space="preserve">9. Falta en el DXF: canalizaciones, cableado (metros) y circuitos termomagnéticos; solo se cuentan bocas.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</si>
</sst>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15" min="3" style="0" width="13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61.5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n">
        <f aca="false">SUMIFS(Detalle!$D$2:$D$134,Detalle!$B$2:$B$134,$A5,Detalle!$E$2:$E$134,C$4)</f>
        <v>5</v>
      </c>
      <c r="D5" s="0" t="n">
        <f aca="false">SUMIFS(Detalle!$D$2:$D$134,Detalle!$B$2:$B$134,$A5,Detalle!$E$2:$E$134,D$4)</f>
        <v>1</v>
      </c>
      <c r="E5" s="0" t="n">
        <f aca="false">SUMIFS(Detalle!$D$2:$D$134,Detalle!$B$2:$B$134,$A5,Detalle!$E$2:$E$134,E$4)</f>
        <v>3</v>
      </c>
      <c r="F5" s="0" t="n">
        <f aca="false">SUMIFS(Detalle!$D$2:$D$134,Detalle!$B$2:$B$134,$A5,Detalle!$E$2:$E$134,F$4)</f>
        <v>2</v>
      </c>
      <c r="G5" s="0" t="n">
        <f aca="false">SUMIFS(Detalle!$D$2:$D$134,Detalle!$B$2:$B$134,$A5,Detalle!$E$2:$E$134,G$4)</f>
        <v>16</v>
      </c>
      <c r="H5" s="0" t="n">
        <f aca="false">SUMIFS(Detalle!$D$2:$D$134,Detalle!$B$2:$B$134,$A5,Detalle!$E$2:$E$134,H$4)</f>
        <v>2</v>
      </c>
      <c r="I5" s="0" t="n">
        <f aca="false">SUMIFS(Detalle!$D$2:$D$134,Detalle!$B$2:$B$134,$A5,Detalle!$E$2:$E$134,I$4)</f>
        <v>2</v>
      </c>
      <c r="J5" s="0" t="n">
        <f aca="false">SUMIFS(Detalle!$D$2:$D$134,Detalle!$B$2:$B$134,$A5,Detalle!$E$2:$E$134,J$4)</f>
        <v>1</v>
      </c>
      <c r="K5" s="0" t="n">
        <f aca="false">SUMIFS(Detalle!$D$2:$D$134,Detalle!$B$2:$B$134,$A5,Detalle!$E$2:$E$134,K$4)</f>
        <v>1</v>
      </c>
      <c r="L5" s="0" t="n">
        <f aca="false">SUMIFS(Detalle!$D$2:$D$134,Detalle!$B$2:$B$134,$A5,Detalle!$E$2:$E$134,L$4)</f>
        <v>8</v>
      </c>
      <c r="M5" s="0" t="n">
        <f aca="false">SUMIFS(Detalle!$D$2:$D$134,Detalle!$B$2:$B$134,$A5,Detalle!$E$2:$E$134,M$4)</f>
        <v>4</v>
      </c>
      <c r="N5" s="0" t="n">
        <f aca="false">SUMIFS(Detalle!$D$2:$D$134,Detalle!$B$2:$B$134,$A5,Detalle!$E$2:$E$134,N$4)</f>
        <v>0</v>
      </c>
      <c r="O5" s="0" t="n">
        <f aca="false">SUMIFS(Detalle!$D$2:$D$134,Detalle!$B$2:$B$134,$A5,Detalle!$E$2:$E$134,O$4)</f>
        <v>0</v>
      </c>
      <c r="P5" s="3" t="n">
        <f aca="false">SUM(C5:O5)</f>
        <v>45</v>
      </c>
    </row>
    <row r="6" customFormat="false" ht="15" hidden="false" customHeight="false" outlineLevel="0" collapsed="false">
      <c r="A6" s="0" t="s">
        <v>20</v>
      </c>
      <c r="B6" s="0" t="s">
        <v>19</v>
      </c>
      <c r="C6" s="0" t="n">
        <f aca="false">SUMIFS(Detalle!$D$2:$D$134,Detalle!$B$2:$B$134,$A6,Detalle!$E$2:$E$134,C$4)</f>
        <v>0</v>
      </c>
      <c r="D6" s="0" t="n">
        <f aca="false">SUMIFS(Detalle!$D$2:$D$134,Detalle!$B$2:$B$134,$A6,Detalle!$E$2:$E$134,D$4)</f>
        <v>0</v>
      </c>
      <c r="E6" s="0" t="n">
        <f aca="false">SUMIFS(Detalle!$D$2:$D$134,Detalle!$B$2:$B$134,$A6,Detalle!$E$2:$E$134,E$4)</f>
        <v>0</v>
      </c>
      <c r="F6" s="0" t="n">
        <f aca="false">SUMIFS(Detalle!$D$2:$D$134,Detalle!$B$2:$B$134,$A6,Detalle!$E$2:$E$134,F$4)</f>
        <v>0</v>
      </c>
      <c r="G6" s="0" t="n">
        <f aca="false">SUMIFS(Detalle!$D$2:$D$134,Detalle!$B$2:$B$134,$A6,Detalle!$E$2:$E$134,G$4)</f>
        <v>0</v>
      </c>
      <c r="H6" s="0" t="n">
        <f aca="false">SUMIFS(Detalle!$D$2:$D$134,Detalle!$B$2:$B$134,$A6,Detalle!$E$2:$E$134,H$4)</f>
        <v>1</v>
      </c>
      <c r="I6" s="0" t="n">
        <f aca="false">SUMIFS(Detalle!$D$2:$D$134,Detalle!$B$2:$B$134,$A6,Detalle!$E$2:$E$134,I$4)</f>
        <v>1</v>
      </c>
      <c r="J6" s="0" t="n">
        <f aca="false">SUMIFS(Detalle!$D$2:$D$134,Detalle!$B$2:$B$134,$A6,Detalle!$E$2:$E$134,J$4)</f>
        <v>1</v>
      </c>
      <c r="K6" s="0" t="n">
        <f aca="false">SUMIFS(Detalle!$D$2:$D$134,Detalle!$B$2:$B$134,$A6,Detalle!$E$2:$E$134,K$4)</f>
        <v>2</v>
      </c>
      <c r="L6" s="0" t="n">
        <f aca="false">SUMIFS(Detalle!$D$2:$D$134,Detalle!$B$2:$B$134,$A6,Detalle!$E$2:$E$134,L$4)</f>
        <v>3</v>
      </c>
      <c r="M6" s="0" t="n">
        <f aca="false">SUMIFS(Detalle!$D$2:$D$134,Detalle!$B$2:$B$134,$A6,Detalle!$E$2:$E$134,M$4)</f>
        <v>4</v>
      </c>
      <c r="N6" s="0" t="n">
        <f aca="false">SUMIFS(Detalle!$D$2:$D$134,Detalle!$B$2:$B$134,$A6,Detalle!$E$2:$E$134,N$4)</f>
        <v>11</v>
      </c>
      <c r="O6" s="0" t="n">
        <f aca="false">SUMIFS(Detalle!$D$2:$D$134,Detalle!$B$2:$B$134,$A6,Detalle!$E$2:$E$134,O$4)</f>
        <v>0</v>
      </c>
      <c r="P6" s="3" t="n">
        <f aca="false">SUM(C6:O6)</f>
        <v>23</v>
      </c>
    </row>
    <row r="7" customFormat="false" ht="15" hidden="false" customHeight="false" outlineLevel="0" collapsed="false">
      <c r="A7" s="0" t="s">
        <v>21</v>
      </c>
      <c r="B7" s="0" t="s">
        <v>19</v>
      </c>
      <c r="C7" s="0" t="n">
        <f aca="false">SUMIFS(Detalle!$D$2:$D$134,Detalle!$B$2:$B$134,$A7,Detalle!$E$2:$E$134,C$4)</f>
        <v>0</v>
      </c>
      <c r="D7" s="0" t="n">
        <f aca="false">SUMIFS(Detalle!$D$2:$D$134,Detalle!$B$2:$B$134,$A7,Detalle!$E$2:$E$134,D$4)</f>
        <v>0</v>
      </c>
      <c r="E7" s="0" t="n">
        <f aca="false">SUMIFS(Detalle!$D$2:$D$134,Detalle!$B$2:$B$134,$A7,Detalle!$E$2:$E$134,E$4)</f>
        <v>0</v>
      </c>
      <c r="F7" s="0" t="n">
        <f aca="false">SUMIFS(Detalle!$D$2:$D$134,Detalle!$B$2:$B$134,$A7,Detalle!$E$2:$E$134,F$4)</f>
        <v>0</v>
      </c>
      <c r="G7" s="0" t="n">
        <f aca="false">SUMIFS(Detalle!$D$2:$D$134,Detalle!$B$2:$B$134,$A7,Detalle!$E$2:$E$134,G$4)</f>
        <v>2</v>
      </c>
      <c r="H7" s="0" t="n">
        <f aca="false">SUMIFS(Detalle!$D$2:$D$134,Detalle!$B$2:$B$134,$A7,Detalle!$E$2:$E$134,H$4)</f>
        <v>0</v>
      </c>
      <c r="I7" s="0" t="n">
        <f aca="false">SUMIFS(Detalle!$D$2:$D$134,Detalle!$B$2:$B$134,$A7,Detalle!$E$2:$E$134,I$4)</f>
        <v>0</v>
      </c>
      <c r="J7" s="0" t="n">
        <f aca="false">SUMIFS(Detalle!$D$2:$D$134,Detalle!$B$2:$B$134,$A7,Detalle!$E$2:$E$134,J$4)</f>
        <v>0</v>
      </c>
      <c r="K7" s="0" t="n">
        <f aca="false">SUMIFS(Detalle!$D$2:$D$134,Detalle!$B$2:$B$134,$A7,Detalle!$E$2:$E$134,K$4)</f>
        <v>0</v>
      </c>
      <c r="L7" s="0" t="n">
        <f aca="false">SUMIFS(Detalle!$D$2:$D$134,Detalle!$B$2:$B$134,$A7,Detalle!$E$2:$E$134,L$4)</f>
        <v>2</v>
      </c>
      <c r="M7" s="0" t="n">
        <f aca="false">SUMIFS(Detalle!$D$2:$D$134,Detalle!$B$2:$B$134,$A7,Detalle!$E$2:$E$134,M$4)</f>
        <v>0</v>
      </c>
      <c r="N7" s="0" t="n">
        <f aca="false">SUMIFS(Detalle!$D$2:$D$134,Detalle!$B$2:$B$134,$A7,Detalle!$E$2:$E$134,N$4)</f>
        <v>0</v>
      </c>
      <c r="O7" s="0" t="n">
        <f aca="false">SUMIFS(Detalle!$D$2:$D$134,Detalle!$B$2:$B$134,$A7,Detalle!$E$2:$E$134,O$4)</f>
        <v>0</v>
      </c>
      <c r="P7" s="3" t="n">
        <f aca="false">SUM(C7:O7)</f>
        <v>4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n">
        <f aca="false">SUMIFS(Detalle!$D$2:$D$134,Detalle!$B$2:$B$134,$A8,Detalle!$E$2:$E$134,C$4)</f>
        <v>13</v>
      </c>
      <c r="D8" s="0" t="n">
        <f aca="false">SUMIFS(Detalle!$D$2:$D$134,Detalle!$B$2:$B$134,$A8,Detalle!$E$2:$E$134,D$4)</f>
        <v>1</v>
      </c>
      <c r="E8" s="0" t="n">
        <f aca="false">SUMIFS(Detalle!$D$2:$D$134,Detalle!$B$2:$B$134,$A8,Detalle!$E$2:$E$134,E$4)</f>
        <v>6</v>
      </c>
      <c r="F8" s="0" t="n">
        <f aca="false">SUMIFS(Detalle!$D$2:$D$134,Detalle!$B$2:$B$134,$A8,Detalle!$E$2:$E$134,F$4)</f>
        <v>6</v>
      </c>
      <c r="G8" s="0" t="n">
        <f aca="false">SUMIFS(Detalle!$D$2:$D$134,Detalle!$B$2:$B$134,$A8,Detalle!$E$2:$E$134,G$4)</f>
        <v>25</v>
      </c>
      <c r="H8" s="0" t="n">
        <f aca="false">SUMIFS(Detalle!$D$2:$D$134,Detalle!$B$2:$B$134,$A8,Detalle!$E$2:$E$134,H$4)</f>
        <v>2</v>
      </c>
      <c r="I8" s="0" t="n">
        <f aca="false">SUMIFS(Detalle!$D$2:$D$134,Detalle!$B$2:$B$134,$A8,Detalle!$E$2:$E$134,I$4)</f>
        <v>4</v>
      </c>
      <c r="J8" s="0" t="n">
        <f aca="false">SUMIFS(Detalle!$D$2:$D$134,Detalle!$B$2:$B$134,$A8,Detalle!$E$2:$E$134,J$4)</f>
        <v>8</v>
      </c>
      <c r="K8" s="0" t="n">
        <f aca="false">SUMIFS(Detalle!$D$2:$D$134,Detalle!$B$2:$B$134,$A8,Detalle!$E$2:$E$134,K$4)</f>
        <v>8</v>
      </c>
      <c r="L8" s="0" t="n">
        <f aca="false">SUMIFS(Detalle!$D$2:$D$134,Detalle!$B$2:$B$134,$A8,Detalle!$E$2:$E$134,L$4)</f>
        <v>5</v>
      </c>
      <c r="M8" s="0" t="n">
        <f aca="false">SUMIFS(Detalle!$D$2:$D$134,Detalle!$B$2:$B$134,$A8,Detalle!$E$2:$E$134,M$4)</f>
        <v>0</v>
      </c>
      <c r="N8" s="0" t="n">
        <f aca="false">SUMIFS(Detalle!$D$2:$D$134,Detalle!$B$2:$B$134,$A8,Detalle!$E$2:$E$134,N$4)</f>
        <v>0</v>
      </c>
      <c r="O8" s="0" t="n">
        <f aca="false">SUMIFS(Detalle!$D$2:$D$134,Detalle!$B$2:$B$134,$A8,Detalle!$E$2:$E$134,O$4)</f>
        <v>0</v>
      </c>
      <c r="P8" s="3" t="n">
        <f aca="false">SUM(C8:O8)</f>
        <v>78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n">
        <f aca="false">SUMIFS(Detalle!$D$2:$D$134,Detalle!$B$2:$B$134,$A9,Detalle!$E$2:$E$134,C$4)</f>
        <v>1</v>
      </c>
      <c r="D9" s="0" t="n">
        <f aca="false">SUMIFS(Detalle!$D$2:$D$134,Detalle!$B$2:$B$134,$A9,Detalle!$E$2:$E$134,D$4)</f>
        <v>0</v>
      </c>
      <c r="E9" s="0" t="n">
        <f aca="false">SUMIFS(Detalle!$D$2:$D$134,Detalle!$B$2:$B$134,$A9,Detalle!$E$2:$E$134,E$4)</f>
        <v>0</v>
      </c>
      <c r="F9" s="0" t="n">
        <f aca="false">SUMIFS(Detalle!$D$2:$D$134,Detalle!$B$2:$B$134,$A9,Detalle!$E$2:$E$134,F$4)</f>
        <v>0</v>
      </c>
      <c r="G9" s="0" t="n">
        <f aca="false">SUMIFS(Detalle!$D$2:$D$134,Detalle!$B$2:$B$134,$A9,Detalle!$E$2:$E$134,G$4)</f>
        <v>1</v>
      </c>
      <c r="H9" s="0" t="n">
        <f aca="false">SUMIFS(Detalle!$D$2:$D$134,Detalle!$B$2:$B$134,$A9,Detalle!$E$2:$E$134,H$4)</f>
        <v>0</v>
      </c>
      <c r="I9" s="0" t="n">
        <f aca="false">SUMIFS(Detalle!$D$2:$D$134,Detalle!$B$2:$B$134,$A9,Detalle!$E$2:$E$134,I$4)</f>
        <v>0</v>
      </c>
      <c r="J9" s="0" t="n">
        <f aca="false">SUMIFS(Detalle!$D$2:$D$134,Detalle!$B$2:$B$134,$A9,Detalle!$E$2:$E$134,J$4)</f>
        <v>1</v>
      </c>
      <c r="K9" s="0" t="n">
        <f aca="false">SUMIFS(Detalle!$D$2:$D$134,Detalle!$B$2:$B$134,$A9,Detalle!$E$2:$E$134,K$4)</f>
        <v>1</v>
      </c>
      <c r="L9" s="0" t="n">
        <f aca="false">SUMIFS(Detalle!$D$2:$D$134,Detalle!$B$2:$B$134,$A9,Detalle!$E$2:$E$134,L$4)</f>
        <v>0</v>
      </c>
      <c r="M9" s="0" t="n">
        <f aca="false">SUMIFS(Detalle!$D$2:$D$134,Detalle!$B$2:$B$134,$A9,Detalle!$E$2:$E$134,M$4)</f>
        <v>0</v>
      </c>
      <c r="N9" s="0" t="n">
        <f aca="false">SUMIFS(Detalle!$D$2:$D$134,Detalle!$B$2:$B$134,$A9,Detalle!$E$2:$E$134,N$4)</f>
        <v>0</v>
      </c>
      <c r="O9" s="0" t="n">
        <f aca="false">SUMIFS(Detalle!$D$2:$D$134,Detalle!$B$2:$B$134,$A9,Detalle!$E$2:$E$134,O$4)</f>
        <v>0</v>
      </c>
      <c r="P9" s="3" t="n">
        <f aca="false">SUM(C9:O9)</f>
        <v>4</v>
      </c>
    </row>
    <row r="10" customFormat="false" ht="15" hidden="false" customHeight="false" outlineLevel="0" collapsed="false">
      <c r="A10" s="0" t="s">
        <v>26</v>
      </c>
      <c r="B10" s="0" t="s">
        <v>23</v>
      </c>
      <c r="C10" s="0" t="n">
        <f aca="false">SUMIFS(Detalle!$D$2:$D$134,Detalle!$B$2:$B$134,$A10,Detalle!$E$2:$E$134,C$4)</f>
        <v>0</v>
      </c>
      <c r="D10" s="0" t="n">
        <f aca="false">SUMIFS(Detalle!$D$2:$D$134,Detalle!$B$2:$B$134,$A10,Detalle!$E$2:$E$134,D$4)</f>
        <v>0</v>
      </c>
      <c r="E10" s="0" t="n">
        <f aca="false">SUMIFS(Detalle!$D$2:$D$134,Detalle!$B$2:$B$134,$A10,Detalle!$E$2:$E$134,E$4)</f>
        <v>0</v>
      </c>
      <c r="F10" s="0" t="n">
        <f aca="false">SUMIFS(Detalle!$D$2:$D$134,Detalle!$B$2:$B$134,$A10,Detalle!$E$2:$E$134,F$4)</f>
        <v>0</v>
      </c>
      <c r="G10" s="0" t="n">
        <f aca="false">SUMIFS(Detalle!$D$2:$D$134,Detalle!$B$2:$B$134,$A10,Detalle!$E$2:$E$134,G$4)</f>
        <v>0</v>
      </c>
      <c r="H10" s="0" t="n">
        <f aca="false">SUMIFS(Detalle!$D$2:$D$134,Detalle!$B$2:$B$134,$A10,Detalle!$E$2:$E$134,H$4)</f>
        <v>0</v>
      </c>
      <c r="I10" s="0" t="n">
        <f aca="false">SUMIFS(Detalle!$D$2:$D$134,Detalle!$B$2:$B$134,$A10,Detalle!$E$2:$E$134,I$4)</f>
        <v>0</v>
      </c>
      <c r="J10" s="0" t="n">
        <f aca="false">SUMIFS(Detalle!$D$2:$D$134,Detalle!$B$2:$B$134,$A10,Detalle!$E$2:$E$134,J$4)</f>
        <v>0</v>
      </c>
      <c r="K10" s="0" t="n">
        <f aca="false">SUMIFS(Detalle!$D$2:$D$134,Detalle!$B$2:$B$134,$A10,Detalle!$E$2:$E$134,K$4)</f>
        <v>0</v>
      </c>
      <c r="L10" s="0" t="n">
        <f aca="false">SUMIFS(Detalle!$D$2:$D$134,Detalle!$B$2:$B$134,$A10,Detalle!$E$2:$E$134,L$4)</f>
        <v>0</v>
      </c>
      <c r="M10" s="0" t="n">
        <f aca="false">SUMIFS(Detalle!$D$2:$D$134,Detalle!$B$2:$B$134,$A10,Detalle!$E$2:$E$134,M$4)</f>
        <v>1</v>
      </c>
      <c r="N10" s="0" t="n">
        <f aca="false">SUMIFS(Detalle!$D$2:$D$134,Detalle!$B$2:$B$134,$A10,Detalle!$E$2:$E$134,N$4)</f>
        <v>0</v>
      </c>
      <c r="O10" s="0" t="n">
        <f aca="false">SUMIFS(Detalle!$D$2:$D$134,Detalle!$B$2:$B$134,$A10,Detalle!$E$2:$E$134,O$4)</f>
        <v>3</v>
      </c>
      <c r="P10" s="3" t="n">
        <f aca="false">SUM(C10:O10)</f>
        <v>4</v>
      </c>
    </row>
    <row r="11" customFormat="false" ht="15" hidden="false" customHeight="false" outlineLevel="0" collapsed="false">
      <c r="A11" s="0" t="s">
        <v>27</v>
      </c>
      <c r="B11" s="0" t="s">
        <v>23</v>
      </c>
      <c r="C11" s="0" t="n">
        <f aca="false">SUMIFS(Detalle!$D$2:$D$134,Detalle!$B$2:$B$134,$A11,Detalle!$E$2:$E$134,C$4)</f>
        <v>0</v>
      </c>
      <c r="D11" s="0" t="n">
        <f aca="false">SUMIFS(Detalle!$D$2:$D$134,Detalle!$B$2:$B$134,$A11,Detalle!$E$2:$E$134,D$4)</f>
        <v>0</v>
      </c>
      <c r="E11" s="0" t="n">
        <f aca="false">SUMIFS(Detalle!$D$2:$D$134,Detalle!$B$2:$B$134,$A11,Detalle!$E$2:$E$134,E$4)</f>
        <v>0</v>
      </c>
      <c r="F11" s="0" t="n">
        <f aca="false">SUMIFS(Detalle!$D$2:$D$134,Detalle!$B$2:$B$134,$A11,Detalle!$E$2:$E$134,F$4)</f>
        <v>0</v>
      </c>
      <c r="G11" s="0" t="n">
        <f aca="false">SUMIFS(Detalle!$D$2:$D$134,Detalle!$B$2:$B$134,$A11,Detalle!$E$2:$E$134,G$4)</f>
        <v>0</v>
      </c>
      <c r="H11" s="0" t="n">
        <f aca="false">SUMIFS(Detalle!$D$2:$D$134,Detalle!$B$2:$B$134,$A11,Detalle!$E$2:$E$134,H$4)</f>
        <v>0</v>
      </c>
      <c r="I11" s="0" t="n">
        <f aca="false">SUMIFS(Detalle!$D$2:$D$134,Detalle!$B$2:$B$134,$A11,Detalle!$E$2:$E$134,I$4)</f>
        <v>0</v>
      </c>
      <c r="J11" s="0" t="n">
        <f aca="false">SUMIFS(Detalle!$D$2:$D$134,Detalle!$B$2:$B$134,$A11,Detalle!$E$2:$E$134,J$4)</f>
        <v>0</v>
      </c>
      <c r="K11" s="0" t="n">
        <f aca="false">SUMIFS(Detalle!$D$2:$D$134,Detalle!$B$2:$B$134,$A11,Detalle!$E$2:$E$134,K$4)</f>
        <v>0</v>
      </c>
      <c r="L11" s="0" t="n">
        <f aca="false">SUMIFS(Detalle!$D$2:$D$134,Detalle!$B$2:$B$134,$A11,Detalle!$E$2:$E$134,L$4)</f>
        <v>0</v>
      </c>
      <c r="M11" s="0" t="n">
        <f aca="false">SUMIFS(Detalle!$D$2:$D$134,Detalle!$B$2:$B$134,$A11,Detalle!$E$2:$E$134,M$4)</f>
        <v>0</v>
      </c>
      <c r="N11" s="0" t="n">
        <f aca="false">SUMIFS(Detalle!$D$2:$D$134,Detalle!$B$2:$B$134,$A11,Detalle!$E$2:$E$134,N$4)</f>
        <v>0</v>
      </c>
      <c r="O11" s="0" t="n">
        <f aca="false">SUMIFS(Detalle!$D$2:$D$134,Detalle!$B$2:$B$134,$A11,Detalle!$E$2:$E$134,O$4)</f>
        <v>1</v>
      </c>
      <c r="P11" s="3" t="n">
        <f aca="false">SUM(C11:O11)</f>
        <v>1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n">
        <f aca="false">SUMIFS(Detalle!$D$2:$D$134,Detalle!$B$2:$B$134,$A12,Detalle!$E$2:$E$134,C$4)</f>
        <v>1</v>
      </c>
      <c r="D12" s="0" t="n">
        <f aca="false">SUMIFS(Detalle!$D$2:$D$134,Detalle!$B$2:$B$134,$A12,Detalle!$E$2:$E$134,D$4)</f>
        <v>0</v>
      </c>
      <c r="E12" s="0" t="n">
        <f aca="false">SUMIFS(Detalle!$D$2:$D$134,Detalle!$B$2:$B$134,$A12,Detalle!$E$2:$E$134,E$4)</f>
        <v>0</v>
      </c>
      <c r="F12" s="0" t="n">
        <f aca="false">SUMIFS(Detalle!$D$2:$D$134,Detalle!$B$2:$B$134,$A12,Detalle!$E$2:$E$134,F$4)</f>
        <v>0</v>
      </c>
      <c r="G12" s="0" t="n">
        <f aca="false">SUMIFS(Detalle!$D$2:$D$134,Detalle!$B$2:$B$134,$A12,Detalle!$E$2:$E$134,G$4)</f>
        <v>1</v>
      </c>
      <c r="H12" s="0" t="n">
        <f aca="false">SUMIFS(Detalle!$D$2:$D$134,Detalle!$B$2:$B$134,$A12,Detalle!$E$2:$E$134,H$4)</f>
        <v>0</v>
      </c>
      <c r="I12" s="0" t="n">
        <f aca="false">SUMIFS(Detalle!$D$2:$D$134,Detalle!$B$2:$B$134,$A12,Detalle!$E$2:$E$134,I$4)</f>
        <v>0</v>
      </c>
      <c r="J12" s="0" t="n">
        <f aca="false">SUMIFS(Detalle!$D$2:$D$134,Detalle!$B$2:$B$134,$A12,Detalle!$E$2:$E$134,J$4)</f>
        <v>1</v>
      </c>
      <c r="K12" s="0" t="n">
        <f aca="false">SUMIFS(Detalle!$D$2:$D$134,Detalle!$B$2:$B$134,$A12,Detalle!$E$2:$E$134,K$4)</f>
        <v>1</v>
      </c>
      <c r="L12" s="0" t="n">
        <f aca="false">SUMIFS(Detalle!$D$2:$D$134,Detalle!$B$2:$B$134,$A12,Detalle!$E$2:$E$134,L$4)</f>
        <v>0</v>
      </c>
      <c r="M12" s="0" t="n">
        <f aca="false">SUMIFS(Detalle!$D$2:$D$134,Detalle!$B$2:$B$134,$A12,Detalle!$E$2:$E$134,M$4)</f>
        <v>0</v>
      </c>
      <c r="N12" s="0" t="n">
        <f aca="false">SUMIFS(Detalle!$D$2:$D$134,Detalle!$B$2:$B$134,$A12,Detalle!$E$2:$E$134,N$4)</f>
        <v>0</v>
      </c>
      <c r="O12" s="0" t="n">
        <f aca="false">SUMIFS(Detalle!$D$2:$D$134,Detalle!$B$2:$B$134,$A12,Detalle!$E$2:$E$134,O$4)</f>
        <v>0</v>
      </c>
      <c r="P12" s="3" t="n">
        <f aca="false">SUM(C12:O12)</f>
        <v>4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SUMIFS(Detalle!$D$2:$D$134,Detalle!$B$2:$B$134,$A13,Detalle!$E$2:$E$134,C$4)</f>
        <v>0</v>
      </c>
      <c r="D13" s="0" t="n">
        <f aca="false">SUMIFS(Detalle!$D$2:$D$134,Detalle!$B$2:$B$134,$A13,Detalle!$E$2:$E$134,D$4)</f>
        <v>0</v>
      </c>
      <c r="E13" s="0" t="n">
        <f aca="false">SUMIFS(Detalle!$D$2:$D$134,Detalle!$B$2:$B$134,$A13,Detalle!$E$2:$E$134,E$4)</f>
        <v>0</v>
      </c>
      <c r="F13" s="0" t="n">
        <f aca="false">SUMIFS(Detalle!$D$2:$D$134,Detalle!$B$2:$B$134,$A13,Detalle!$E$2:$E$134,F$4)</f>
        <v>0</v>
      </c>
      <c r="G13" s="0" t="n">
        <f aca="false">SUMIFS(Detalle!$D$2:$D$134,Detalle!$B$2:$B$134,$A13,Detalle!$E$2:$E$134,G$4)</f>
        <v>1</v>
      </c>
      <c r="H13" s="0" t="n">
        <f aca="false">SUMIFS(Detalle!$D$2:$D$134,Detalle!$B$2:$B$134,$A13,Detalle!$E$2:$E$134,H$4)</f>
        <v>0</v>
      </c>
      <c r="I13" s="0" t="n">
        <f aca="false">SUMIFS(Detalle!$D$2:$D$134,Detalle!$B$2:$B$134,$A13,Detalle!$E$2:$E$134,I$4)</f>
        <v>0</v>
      </c>
      <c r="J13" s="0" t="n">
        <f aca="false">SUMIFS(Detalle!$D$2:$D$134,Detalle!$B$2:$B$134,$A13,Detalle!$E$2:$E$134,J$4)</f>
        <v>0</v>
      </c>
      <c r="K13" s="0" t="n">
        <f aca="false">SUMIFS(Detalle!$D$2:$D$134,Detalle!$B$2:$B$134,$A13,Detalle!$E$2:$E$134,K$4)</f>
        <v>0</v>
      </c>
      <c r="L13" s="0" t="n">
        <f aca="false">SUMIFS(Detalle!$D$2:$D$134,Detalle!$B$2:$B$134,$A13,Detalle!$E$2:$E$134,L$4)</f>
        <v>0</v>
      </c>
      <c r="M13" s="0" t="n">
        <f aca="false">SUMIFS(Detalle!$D$2:$D$134,Detalle!$B$2:$B$134,$A13,Detalle!$E$2:$E$134,M$4)</f>
        <v>0</v>
      </c>
      <c r="N13" s="0" t="n">
        <f aca="false">SUMIFS(Detalle!$D$2:$D$134,Detalle!$B$2:$B$134,$A13,Detalle!$E$2:$E$134,N$4)</f>
        <v>0</v>
      </c>
      <c r="O13" s="0" t="n">
        <f aca="false">SUMIFS(Detalle!$D$2:$D$134,Detalle!$B$2:$B$134,$A13,Detalle!$E$2:$E$134,O$4)</f>
        <v>0</v>
      </c>
      <c r="P13" s="3" t="n">
        <f aca="false">SUM(C13:O13)</f>
        <v>1</v>
      </c>
    </row>
    <row r="14" customFormat="false" ht="15" hidden="false" customHeight="false" outlineLevel="0" collapsed="false">
      <c r="A14" s="0" t="s">
        <v>31</v>
      </c>
      <c r="B14" s="0" t="s">
        <v>29</v>
      </c>
      <c r="C14" s="0" t="n">
        <f aca="false">SUMIFS(Detalle!$D$2:$D$134,Detalle!$B$2:$B$134,$A14,Detalle!$E$2:$E$134,C$4)</f>
        <v>0</v>
      </c>
      <c r="D14" s="0" t="n">
        <f aca="false">SUMIFS(Detalle!$D$2:$D$134,Detalle!$B$2:$B$134,$A14,Detalle!$E$2:$E$134,D$4)</f>
        <v>0</v>
      </c>
      <c r="E14" s="0" t="n">
        <f aca="false">SUMIFS(Detalle!$D$2:$D$134,Detalle!$B$2:$B$134,$A14,Detalle!$E$2:$E$134,E$4)</f>
        <v>0</v>
      </c>
      <c r="F14" s="0" t="n">
        <f aca="false">SUMIFS(Detalle!$D$2:$D$134,Detalle!$B$2:$B$134,$A14,Detalle!$E$2:$E$134,F$4)</f>
        <v>0</v>
      </c>
      <c r="G14" s="0" t="n">
        <f aca="false">SUMIFS(Detalle!$D$2:$D$134,Detalle!$B$2:$B$134,$A14,Detalle!$E$2:$E$134,G$4)</f>
        <v>1</v>
      </c>
      <c r="H14" s="0" t="n">
        <f aca="false">SUMIFS(Detalle!$D$2:$D$134,Detalle!$B$2:$B$134,$A14,Detalle!$E$2:$E$134,H$4)</f>
        <v>0</v>
      </c>
      <c r="I14" s="0" t="n">
        <f aca="false">SUMIFS(Detalle!$D$2:$D$134,Detalle!$B$2:$B$134,$A14,Detalle!$E$2:$E$134,I$4)</f>
        <v>0</v>
      </c>
      <c r="J14" s="0" t="n">
        <f aca="false">SUMIFS(Detalle!$D$2:$D$134,Detalle!$B$2:$B$134,$A14,Detalle!$E$2:$E$134,J$4)</f>
        <v>0</v>
      </c>
      <c r="K14" s="0" t="n">
        <f aca="false">SUMIFS(Detalle!$D$2:$D$134,Detalle!$B$2:$B$134,$A14,Detalle!$E$2:$E$134,K$4)</f>
        <v>0</v>
      </c>
      <c r="L14" s="0" t="n">
        <f aca="false">SUMIFS(Detalle!$D$2:$D$134,Detalle!$B$2:$B$134,$A14,Detalle!$E$2:$E$134,L$4)</f>
        <v>0</v>
      </c>
      <c r="M14" s="0" t="n">
        <f aca="false">SUMIFS(Detalle!$D$2:$D$134,Detalle!$B$2:$B$134,$A14,Detalle!$E$2:$E$134,M$4)</f>
        <v>1</v>
      </c>
      <c r="N14" s="0" t="n">
        <f aca="false">SUMIFS(Detalle!$D$2:$D$134,Detalle!$B$2:$B$134,$A14,Detalle!$E$2:$E$134,N$4)</f>
        <v>0</v>
      </c>
      <c r="O14" s="0" t="n">
        <f aca="false">SUMIFS(Detalle!$D$2:$D$134,Detalle!$B$2:$B$134,$A14,Detalle!$E$2:$E$134,O$4)</f>
        <v>0</v>
      </c>
      <c r="P14" s="3" t="n">
        <f aca="false">SUM(C14:O14)</f>
        <v>2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n">
        <f aca="false">SUMIFS(Detalle!$D$2:$D$134,Detalle!$B$2:$B$134,$A15,Detalle!$E$2:$E$134,C$4)</f>
        <v>0</v>
      </c>
      <c r="D15" s="0" t="n">
        <f aca="false">SUMIFS(Detalle!$D$2:$D$134,Detalle!$B$2:$B$134,$A15,Detalle!$E$2:$E$134,D$4)</f>
        <v>0</v>
      </c>
      <c r="E15" s="0" t="n">
        <f aca="false">SUMIFS(Detalle!$D$2:$D$134,Detalle!$B$2:$B$134,$A15,Detalle!$E$2:$E$134,E$4)</f>
        <v>0</v>
      </c>
      <c r="F15" s="0" t="n">
        <f aca="false">SUMIFS(Detalle!$D$2:$D$134,Detalle!$B$2:$B$134,$A15,Detalle!$E$2:$E$134,F$4)</f>
        <v>0</v>
      </c>
      <c r="G15" s="0" t="n">
        <f aca="false">SUMIFS(Detalle!$D$2:$D$134,Detalle!$B$2:$B$134,$A15,Detalle!$E$2:$E$134,G$4)</f>
        <v>1</v>
      </c>
      <c r="H15" s="0" t="n">
        <f aca="false">SUMIFS(Detalle!$D$2:$D$134,Detalle!$B$2:$B$134,$A15,Detalle!$E$2:$E$134,H$4)</f>
        <v>0</v>
      </c>
      <c r="I15" s="0" t="n">
        <f aca="false">SUMIFS(Detalle!$D$2:$D$134,Detalle!$B$2:$B$134,$A15,Detalle!$E$2:$E$134,I$4)</f>
        <v>0</v>
      </c>
      <c r="J15" s="0" t="n">
        <f aca="false">SUMIFS(Detalle!$D$2:$D$134,Detalle!$B$2:$B$134,$A15,Detalle!$E$2:$E$134,J$4)</f>
        <v>0</v>
      </c>
      <c r="K15" s="0" t="n">
        <f aca="false">SUMIFS(Detalle!$D$2:$D$134,Detalle!$B$2:$B$134,$A15,Detalle!$E$2:$E$134,K$4)</f>
        <v>0</v>
      </c>
      <c r="L15" s="0" t="n">
        <f aca="false">SUMIFS(Detalle!$D$2:$D$134,Detalle!$B$2:$B$134,$A15,Detalle!$E$2:$E$134,L$4)</f>
        <v>0</v>
      </c>
      <c r="M15" s="0" t="n">
        <f aca="false">SUMIFS(Detalle!$D$2:$D$134,Detalle!$B$2:$B$134,$A15,Detalle!$E$2:$E$134,M$4)</f>
        <v>0</v>
      </c>
      <c r="N15" s="0" t="n">
        <f aca="false">SUMIFS(Detalle!$D$2:$D$134,Detalle!$B$2:$B$134,$A15,Detalle!$E$2:$E$134,N$4)</f>
        <v>0</v>
      </c>
      <c r="O15" s="0" t="n">
        <f aca="false">SUMIFS(Detalle!$D$2:$D$134,Detalle!$B$2:$B$134,$A15,Detalle!$E$2:$E$134,O$4)</f>
        <v>0</v>
      </c>
      <c r="P15" s="3" t="n">
        <f aca="false">SUM(C15:O15)</f>
        <v>1</v>
      </c>
    </row>
    <row r="16" customFormat="false" ht="15" hidden="false" customHeight="false" outlineLevel="0" collapsed="false">
      <c r="A16" s="0" t="s">
        <v>34</v>
      </c>
      <c r="B16" s="0" t="s">
        <v>33</v>
      </c>
      <c r="C16" s="0" t="n">
        <f aca="false">SUMIFS(Detalle!$D$2:$D$134,Detalle!$B$2:$B$134,$A16,Detalle!$E$2:$E$134,C$4)</f>
        <v>0</v>
      </c>
      <c r="D16" s="0" t="n">
        <f aca="false">SUMIFS(Detalle!$D$2:$D$134,Detalle!$B$2:$B$134,$A16,Detalle!$E$2:$E$134,D$4)</f>
        <v>0</v>
      </c>
      <c r="E16" s="0" t="n">
        <f aca="false">SUMIFS(Detalle!$D$2:$D$134,Detalle!$B$2:$B$134,$A16,Detalle!$E$2:$E$134,E$4)</f>
        <v>0</v>
      </c>
      <c r="F16" s="0" t="n">
        <f aca="false">SUMIFS(Detalle!$D$2:$D$134,Detalle!$B$2:$B$134,$A16,Detalle!$E$2:$E$134,F$4)</f>
        <v>0</v>
      </c>
      <c r="G16" s="0" t="n">
        <f aca="false">SUMIFS(Detalle!$D$2:$D$134,Detalle!$B$2:$B$134,$A16,Detalle!$E$2:$E$134,G$4)</f>
        <v>0</v>
      </c>
      <c r="H16" s="0" t="n">
        <f aca="false">SUMIFS(Detalle!$D$2:$D$134,Detalle!$B$2:$B$134,$A16,Detalle!$E$2:$E$134,H$4)</f>
        <v>0</v>
      </c>
      <c r="I16" s="0" t="n">
        <f aca="false">SUMIFS(Detalle!$D$2:$D$134,Detalle!$B$2:$B$134,$A16,Detalle!$E$2:$E$134,I$4)</f>
        <v>0</v>
      </c>
      <c r="J16" s="0" t="n">
        <f aca="false">SUMIFS(Detalle!$D$2:$D$134,Detalle!$B$2:$B$134,$A16,Detalle!$E$2:$E$134,J$4)</f>
        <v>0</v>
      </c>
      <c r="K16" s="0" t="n">
        <f aca="false">SUMIFS(Detalle!$D$2:$D$134,Detalle!$B$2:$B$134,$A16,Detalle!$E$2:$E$134,K$4)</f>
        <v>0</v>
      </c>
      <c r="L16" s="0" t="n">
        <f aca="false">SUMIFS(Detalle!$D$2:$D$134,Detalle!$B$2:$B$134,$A16,Detalle!$E$2:$E$134,L$4)</f>
        <v>1</v>
      </c>
      <c r="M16" s="0" t="n">
        <f aca="false">SUMIFS(Detalle!$D$2:$D$134,Detalle!$B$2:$B$134,$A16,Detalle!$E$2:$E$134,M$4)</f>
        <v>0</v>
      </c>
      <c r="N16" s="0" t="n">
        <f aca="false">SUMIFS(Detalle!$D$2:$D$134,Detalle!$B$2:$B$134,$A16,Detalle!$E$2:$E$134,N$4)</f>
        <v>0</v>
      </c>
      <c r="O16" s="0" t="n">
        <f aca="false">SUMIFS(Detalle!$D$2:$D$134,Detalle!$B$2:$B$134,$A16,Detalle!$E$2:$E$134,O$4)</f>
        <v>0</v>
      </c>
      <c r="P16" s="3" t="n">
        <f aca="false">SUM(C16:O16)</f>
        <v>1</v>
      </c>
    </row>
    <row r="17" customFormat="false" ht="15" hidden="false" customHeight="false" outlineLevel="0" collapsed="false">
      <c r="A17" s="0" t="s">
        <v>35</v>
      </c>
      <c r="B17" s="0" t="s">
        <v>29</v>
      </c>
      <c r="C17" s="0" t="n">
        <f aca="false">SUMIFS(Detalle!$D$2:$D$134,Detalle!$B$2:$B$134,$A17,Detalle!$E$2:$E$134,C$4)</f>
        <v>0</v>
      </c>
      <c r="D17" s="0" t="n">
        <f aca="false">SUMIFS(Detalle!$D$2:$D$134,Detalle!$B$2:$B$134,$A17,Detalle!$E$2:$E$134,D$4)</f>
        <v>0</v>
      </c>
      <c r="E17" s="0" t="n">
        <f aca="false">SUMIFS(Detalle!$D$2:$D$134,Detalle!$B$2:$B$134,$A17,Detalle!$E$2:$E$134,E$4)</f>
        <v>0</v>
      </c>
      <c r="F17" s="0" t="n">
        <f aca="false">SUMIFS(Detalle!$D$2:$D$134,Detalle!$B$2:$B$134,$A17,Detalle!$E$2:$E$134,F$4)</f>
        <v>0</v>
      </c>
      <c r="G17" s="0" t="n">
        <f aca="false">SUMIFS(Detalle!$D$2:$D$134,Detalle!$B$2:$B$134,$A17,Detalle!$E$2:$E$134,G$4)</f>
        <v>0</v>
      </c>
      <c r="H17" s="0" t="n">
        <f aca="false">SUMIFS(Detalle!$D$2:$D$134,Detalle!$B$2:$B$134,$A17,Detalle!$E$2:$E$134,H$4)</f>
        <v>0</v>
      </c>
      <c r="I17" s="0" t="n">
        <f aca="false">SUMIFS(Detalle!$D$2:$D$134,Detalle!$B$2:$B$134,$A17,Detalle!$E$2:$E$134,I$4)</f>
        <v>0</v>
      </c>
      <c r="J17" s="0" t="n">
        <f aca="false">SUMIFS(Detalle!$D$2:$D$134,Detalle!$B$2:$B$134,$A17,Detalle!$E$2:$E$134,J$4)</f>
        <v>0</v>
      </c>
      <c r="K17" s="0" t="n">
        <f aca="false">SUMIFS(Detalle!$D$2:$D$134,Detalle!$B$2:$B$134,$A17,Detalle!$E$2:$E$134,K$4)</f>
        <v>0</v>
      </c>
      <c r="L17" s="0" t="n">
        <f aca="false">SUMIFS(Detalle!$D$2:$D$134,Detalle!$B$2:$B$134,$A17,Detalle!$E$2:$E$134,L$4)</f>
        <v>0</v>
      </c>
      <c r="M17" s="0" t="n">
        <f aca="false">SUMIFS(Detalle!$D$2:$D$134,Detalle!$B$2:$B$134,$A17,Detalle!$E$2:$E$134,M$4)</f>
        <v>0</v>
      </c>
      <c r="N17" s="0" t="n">
        <f aca="false">SUMIFS(Detalle!$D$2:$D$134,Detalle!$B$2:$B$134,$A17,Detalle!$E$2:$E$134,N$4)</f>
        <v>0</v>
      </c>
      <c r="O17" s="0" t="n">
        <f aca="false">SUMIFS(Detalle!$D$2:$D$134,Detalle!$B$2:$B$134,$A17,Detalle!$E$2:$E$134,O$4)</f>
        <v>1</v>
      </c>
      <c r="P17" s="3" t="n">
        <f aca="false">SUM(C17:O17)</f>
        <v>1</v>
      </c>
    </row>
    <row r="18" customFormat="false" ht="15" hidden="false" customHeight="false" outlineLevel="0" collapsed="false">
      <c r="A18" s="4" t="s">
        <v>17</v>
      </c>
      <c r="B18" s="5"/>
      <c r="C18" s="4" t="n">
        <f aca="false">SUM(C5:C17)</f>
        <v>20</v>
      </c>
      <c r="D18" s="4" t="n">
        <f aca="false">SUM(D5:D17)</f>
        <v>2</v>
      </c>
      <c r="E18" s="4" t="n">
        <f aca="false">SUM(E5:E17)</f>
        <v>9</v>
      </c>
      <c r="F18" s="4" t="n">
        <f aca="false">SUM(F5:F17)</f>
        <v>8</v>
      </c>
      <c r="G18" s="4" t="n">
        <f aca="false">SUM(G5:G17)</f>
        <v>48</v>
      </c>
      <c r="H18" s="4" t="n">
        <f aca="false">SUM(H5:H17)</f>
        <v>5</v>
      </c>
      <c r="I18" s="4" t="n">
        <f aca="false">SUM(I5:I17)</f>
        <v>7</v>
      </c>
      <c r="J18" s="4" t="n">
        <f aca="false">SUM(J5:J17)</f>
        <v>12</v>
      </c>
      <c r="K18" s="4" t="n">
        <f aca="false">SUM(K5:K17)</f>
        <v>13</v>
      </c>
      <c r="L18" s="4" t="n">
        <f aca="false">SUM(L5:L17)</f>
        <v>19</v>
      </c>
      <c r="M18" s="4" t="n">
        <f aca="false">SUM(M5:M17)</f>
        <v>10</v>
      </c>
      <c r="N18" s="4" t="n">
        <f aca="false">SUM(N5:N17)</f>
        <v>11</v>
      </c>
      <c r="O18" s="4" t="n">
        <f aca="false">SUM(O5:O17)</f>
        <v>5</v>
      </c>
      <c r="P18" s="4" t="n">
        <f aca="false">SUM(P5:P17)</f>
        <v>169</v>
      </c>
    </row>
    <row r="20" customFormat="false" ht="15" hidden="false" customHeight="false" outlineLevel="0" collapsed="false">
      <c r="A20" s="3" t="s">
        <v>36</v>
      </c>
    </row>
    <row r="21" customFormat="false" ht="15" hidden="false" customHeight="false" outlineLevel="0" collapsed="false">
      <c r="A21" s="0" t="s">
        <v>19</v>
      </c>
      <c r="B21" s="0" t="n">
        <f aca="false">SUMIFS(Detalle!$D$2:$D$134,Detalle!$C$2:$C$134,A21)</f>
        <v>72</v>
      </c>
    </row>
    <row r="22" customFormat="false" ht="15" hidden="false" customHeight="false" outlineLevel="0" collapsed="false">
      <c r="A22" s="0" t="s">
        <v>23</v>
      </c>
      <c r="B22" s="0" t="n">
        <f aca="false">SUMIFS(Detalle!$D$2:$D$134,Detalle!$C$2:$C$134,A22)</f>
        <v>83</v>
      </c>
    </row>
    <row r="23" customFormat="false" ht="15" hidden="false" customHeight="false" outlineLevel="0" collapsed="false">
      <c r="A23" s="0" t="s">
        <v>25</v>
      </c>
      <c r="B23" s="0" t="n">
        <f aca="false">SUMIFS(Detalle!$D$2:$D$134,Detalle!$C$2:$C$134,A23)</f>
        <v>4</v>
      </c>
    </row>
    <row r="24" customFormat="false" ht="15" hidden="false" customHeight="false" outlineLevel="0" collapsed="false">
      <c r="A24" s="0" t="s">
        <v>29</v>
      </c>
      <c r="B24" s="0" t="n">
        <f aca="false">SUMIFS(Detalle!$D$2:$D$134,Detalle!$C$2:$C$134,A24)</f>
        <v>8</v>
      </c>
    </row>
    <row r="25" customFormat="false" ht="15" hidden="false" customHeight="false" outlineLevel="0" collapsed="false">
      <c r="A25" s="0" t="s">
        <v>33</v>
      </c>
      <c r="B25" s="0" t="n">
        <f aca="false">SUMIFS(Detalle!$D$2:$D$134,Detalle!$C$2:$C$134,A25)</f>
        <v>2</v>
      </c>
    </row>
    <row r="26" customFormat="false" ht="15" hidden="false" customHeight="false" outlineLevel="0" collapsed="false">
      <c r="A26" s="3" t="s">
        <v>37</v>
      </c>
      <c r="B26" s="3" t="n">
        <f aca="false">SUM(B21:B25)</f>
        <v>169</v>
      </c>
    </row>
    <row r="28" customFormat="false" ht="15" hidden="false" customHeight="false" outlineLevel="0" collapsed="false">
      <c r="A28" s="0" t="s">
        <v>38</v>
      </c>
      <c r="B28" s="0" t="n">
        <f aca="false">COUNTIFS(Detalle!$C$2:$C$134,"Tomas")+COUNTIFS(Detalle!$C$2:$C$134,"Tomas AA")</f>
        <v>51</v>
      </c>
    </row>
    <row r="29" customFormat="false" ht="15" hidden="false" customHeight="false" outlineLevel="0" collapsed="false">
      <c r="A29" s="0" t="s">
        <v>39</v>
      </c>
      <c r="B29" s="0" t="n">
        <f aca="false">B21+B28+B24</f>
        <v>131</v>
      </c>
    </row>
    <row r="30" customFormat="false" ht="15" hidden="false" customHeight="false" outlineLevel="0" collapsed="false">
      <c r="A30" s="0" t="s">
        <v>40</v>
      </c>
      <c r="B30" s="6" t="n">
        <v>145.87</v>
      </c>
    </row>
    <row r="31" customFormat="false" ht="15" hidden="false" customHeight="false" outlineLevel="0" collapsed="false">
      <c r="A31" s="0" t="s">
        <v>41</v>
      </c>
      <c r="B31" s="7" t="n">
        <f aca="false">B29/B30</f>
        <v>0.898059916363886</v>
      </c>
    </row>
    <row r="32" customFormat="false" ht="15" hidden="false" customHeight="false" outlineLevel="0" collapsed="false">
      <c r="A32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9"/>
  </cols>
  <sheetData>
    <row r="1" customFormat="false" ht="15" hidden="false" customHeight="false" outlineLevel="0" collapsed="false">
      <c r="A1" s="8" t="s">
        <v>43</v>
      </c>
      <c r="B1" s="8" t="s">
        <v>2</v>
      </c>
      <c r="C1" s="8" t="s">
        <v>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</row>
    <row r="2" customFormat="false" ht="15" hidden="false" customHeight="false" outlineLevel="0" collapsed="false">
      <c r="A2" s="0" t="n">
        <v>1</v>
      </c>
      <c r="B2" s="0" t="s">
        <v>18</v>
      </c>
      <c r="C2" s="0" t="s">
        <v>19</v>
      </c>
      <c r="D2" s="0" t="n">
        <v>1</v>
      </c>
      <c r="E2" s="0" t="s">
        <v>4</v>
      </c>
      <c r="F2" s="0" t="s">
        <v>49</v>
      </c>
      <c r="G2" s="0" t="n">
        <v>2.3</v>
      </c>
      <c r="H2" s="0" t="n">
        <v>3.45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s">
        <v>19</v>
      </c>
      <c r="D3" s="0" t="n">
        <v>1</v>
      </c>
      <c r="E3" s="0" t="s">
        <v>4</v>
      </c>
      <c r="F3" s="0" t="s">
        <v>50</v>
      </c>
      <c r="G3" s="0" t="n">
        <v>2.36</v>
      </c>
      <c r="H3" s="0" t="n">
        <v>6.54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s">
        <v>19</v>
      </c>
      <c r="D4" s="0" t="n">
        <v>1</v>
      </c>
      <c r="E4" s="0" t="s">
        <v>4</v>
      </c>
      <c r="F4" s="0" t="s">
        <v>51</v>
      </c>
      <c r="G4" s="0" t="n">
        <v>3.45</v>
      </c>
      <c r="H4" s="0" t="n">
        <v>3.04</v>
      </c>
    </row>
    <row r="5" customFormat="false" ht="15" hidden="false" customHeight="false" outlineLevel="0" collapsed="false">
      <c r="A5" s="0" t="n">
        <v>4</v>
      </c>
      <c r="B5" s="0" t="s">
        <v>18</v>
      </c>
      <c r="C5" s="0" t="s">
        <v>19</v>
      </c>
      <c r="D5" s="0" t="n">
        <v>1</v>
      </c>
      <c r="E5" s="0" t="s">
        <v>4</v>
      </c>
      <c r="F5" s="0" t="s">
        <v>51</v>
      </c>
      <c r="G5" s="0" t="n">
        <v>3.45</v>
      </c>
      <c r="H5" s="0" t="n">
        <v>4.04</v>
      </c>
    </row>
    <row r="6" customFormat="false" ht="15" hidden="false" customHeight="false" outlineLevel="0" collapsed="false">
      <c r="A6" s="0" t="n">
        <v>5</v>
      </c>
      <c r="B6" s="0" t="s">
        <v>18</v>
      </c>
      <c r="C6" s="0" t="s">
        <v>19</v>
      </c>
      <c r="D6" s="0" t="n">
        <v>1</v>
      </c>
      <c r="E6" s="0" t="s">
        <v>4</v>
      </c>
      <c r="F6" s="0" t="s">
        <v>49</v>
      </c>
      <c r="G6" s="0" t="n">
        <v>1.3</v>
      </c>
      <c r="H6" s="0" t="n">
        <v>3.45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s">
        <v>23</v>
      </c>
      <c r="D7" s="0" t="n">
        <v>2</v>
      </c>
      <c r="E7" s="0" t="s">
        <v>4</v>
      </c>
      <c r="F7" s="0" t="s">
        <v>52</v>
      </c>
      <c r="G7" s="0" t="n">
        <v>3.88</v>
      </c>
      <c r="H7" s="0" t="n">
        <v>6.8</v>
      </c>
    </row>
    <row r="8" customFormat="false" ht="15" hidden="false" customHeight="false" outlineLevel="0" collapsed="false">
      <c r="A8" s="0" t="n">
        <v>7</v>
      </c>
      <c r="B8" s="0" t="s">
        <v>22</v>
      </c>
      <c r="C8" s="0" t="s">
        <v>23</v>
      </c>
      <c r="D8" s="0" t="n">
        <v>2</v>
      </c>
      <c r="E8" s="0" t="s">
        <v>4</v>
      </c>
      <c r="F8" s="0" t="s">
        <v>50</v>
      </c>
      <c r="G8" s="0" t="n">
        <v>0.84</v>
      </c>
      <c r="H8" s="0" t="n">
        <v>7.54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s">
        <v>23</v>
      </c>
      <c r="D9" s="0" t="n">
        <v>2</v>
      </c>
      <c r="E9" s="0" t="s">
        <v>4</v>
      </c>
      <c r="F9" s="0" t="s">
        <v>53</v>
      </c>
      <c r="G9" s="0" t="n">
        <v>3.89</v>
      </c>
      <c r="H9" s="0" t="n">
        <v>8.13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23</v>
      </c>
      <c r="D10" s="0" t="n">
        <v>2</v>
      </c>
      <c r="E10" s="0" t="s">
        <v>4</v>
      </c>
      <c r="F10" s="0" t="s">
        <v>52</v>
      </c>
      <c r="G10" s="0" t="n">
        <v>3.88</v>
      </c>
      <c r="H10" s="0" t="n">
        <v>6.33</v>
      </c>
    </row>
    <row r="11" customFormat="false" ht="15" hidden="false" customHeight="false" outlineLevel="0" collapsed="false">
      <c r="A11" s="0" t="n">
        <v>10</v>
      </c>
      <c r="B11" s="0" t="s">
        <v>22</v>
      </c>
      <c r="C11" s="0" t="s">
        <v>23</v>
      </c>
      <c r="D11" s="0" t="n">
        <v>2</v>
      </c>
      <c r="E11" s="0" t="s">
        <v>4</v>
      </c>
      <c r="F11" s="0" t="s">
        <v>51</v>
      </c>
      <c r="G11" s="0" t="n">
        <v>2.32</v>
      </c>
      <c r="H11" s="0" t="n">
        <v>4.75</v>
      </c>
    </row>
    <row r="12" customFormat="false" ht="15" hidden="false" customHeight="false" outlineLevel="0" collapsed="false">
      <c r="A12" s="0" t="n">
        <v>11</v>
      </c>
      <c r="B12" s="0" t="s">
        <v>22</v>
      </c>
      <c r="C12" s="0" t="s">
        <v>23</v>
      </c>
      <c r="D12" s="0" t="n">
        <v>2</v>
      </c>
      <c r="E12" s="0" t="s">
        <v>4</v>
      </c>
      <c r="F12" s="0" t="s">
        <v>54</v>
      </c>
      <c r="G12" s="0" t="n">
        <v>0.84</v>
      </c>
      <c r="H12" s="0" t="n">
        <v>5.54</v>
      </c>
    </row>
    <row r="13" customFormat="false" ht="15" hidden="false" customHeight="false" outlineLevel="0" collapsed="false">
      <c r="A13" s="0" t="n">
        <v>12</v>
      </c>
      <c r="B13" s="0" t="s">
        <v>22</v>
      </c>
      <c r="C13" s="0" t="s">
        <v>23</v>
      </c>
      <c r="D13" s="0" t="n">
        <v>1</v>
      </c>
      <c r="E13" s="0" t="s">
        <v>4</v>
      </c>
      <c r="F13" s="0" t="s">
        <v>51</v>
      </c>
      <c r="G13" s="0" t="n">
        <v>3.91</v>
      </c>
      <c r="H13" s="0" t="n">
        <v>3.47</v>
      </c>
    </row>
    <row r="14" customFormat="false" ht="15" hidden="false" customHeight="false" outlineLevel="0" collapsed="false">
      <c r="A14" s="0" t="n">
        <v>13</v>
      </c>
      <c r="B14" s="0" t="s">
        <v>24</v>
      </c>
      <c r="C14" s="0" t="s">
        <v>25</v>
      </c>
      <c r="D14" s="0" t="n">
        <v>1</v>
      </c>
      <c r="E14" s="0" t="s">
        <v>4</v>
      </c>
      <c r="F14" s="0" t="s">
        <v>54</v>
      </c>
      <c r="G14" s="0" t="n">
        <v>0.8</v>
      </c>
      <c r="H14" s="0" t="n">
        <v>5.08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s">
        <v>29</v>
      </c>
      <c r="D15" s="0" t="n">
        <v>1</v>
      </c>
      <c r="E15" s="0" t="s">
        <v>4</v>
      </c>
      <c r="F15" s="0" t="s">
        <v>52</v>
      </c>
      <c r="G15" s="0" t="n">
        <v>3.79</v>
      </c>
      <c r="H15" s="0" t="n">
        <v>6.57</v>
      </c>
    </row>
    <row r="16" customFormat="false" ht="15" hidden="false" customHeight="false" outlineLevel="0" collapsed="false">
      <c r="A16" s="0" t="n">
        <v>15</v>
      </c>
      <c r="B16" s="0" t="s">
        <v>18</v>
      </c>
      <c r="C16" s="0" t="s">
        <v>19</v>
      </c>
      <c r="D16" s="0" t="n">
        <v>1</v>
      </c>
      <c r="E16" s="0" t="s">
        <v>5</v>
      </c>
      <c r="F16" s="0" t="s">
        <v>55</v>
      </c>
      <c r="G16" s="0" t="n">
        <v>5.01</v>
      </c>
      <c r="H16" s="0" t="n">
        <v>7.88</v>
      </c>
    </row>
    <row r="17" customFormat="false" ht="15" hidden="false" customHeight="false" outlineLevel="0" collapsed="false">
      <c r="A17" s="0" t="n">
        <v>16</v>
      </c>
      <c r="B17" s="0" t="s">
        <v>22</v>
      </c>
      <c r="C17" s="0" t="s">
        <v>23</v>
      </c>
      <c r="D17" s="0" t="n">
        <v>1</v>
      </c>
      <c r="E17" s="0" t="s">
        <v>5</v>
      </c>
      <c r="F17" s="0" t="s">
        <v>55</v>
      </c>
      <c r="G17" s="0" t="n">
        <v>4.32</v>
      </c>
      <c r="H17" s="0" t="n">
        <v>7.2</v>
      </c>
    </row>
    <row r="18" customFormat="false" ht="15" hidden="false" customHeight="false" outlineLevel="0" collapsed="false">
      <c r="A18" s="0" t="n">
        <v>17</v>
      </c>
      <c r="B18" s="0" t="s">
        <v>18</v>
      </c>
      <c r="C18" s="0" t="s">
        <v>19</v>
      </c>
      <c r="D18" s="0" t="n">
        <v>1</v>
      </c>
      <c r="E18" s="0" t="s">
        <v>6</v>
      </c>
      <c r="F18" s="0" t="s">
        <v>54</v>
      </c>
      <c r="G18" s="0" t="n">
        <v>0.21</v>
      </c>
      <c r="H18" s="0" t="n">
        <v>6.08</v>
      </c>
    </row>
    <row r="19" customFormat="false" ht="15" hidden="false" customHeight="false" outlineLevel="0" collapsed="false">
      <c r="A19" s="0" t="n">
        <v>18</v>
      </c>
      <c r="B19" s="0" t="s">
        <v>18</v>
      </c>
      <c r="C19" s="0" t="s">
        <v>19</v>
      </c>
      <c r="D19" s="0" t="n">
        <v>1</v>
      </c>
      <c r="E19" s="0" t="s">
        <v>6</v>
      </c>
      <c r="F19" s="0" t="s">
        <v>54</v>
      </c>
      <c r="G19" s="0" t="n">
        <v>0.21</v>
      </c>
      <c r="H19" s="0" t="n">
        <v>7.08</v>
      </c>
    </row>
    <row r="20" customFormat="false" ht="15" hidden="false" customHeight="false" outlineLevel="0" collapsed="false">
      <c r="A20" s="0" t="n">
        <v>19</v>
      </c>
      <c r="B20" s="0" t="s">
        <v>18</v>
      </c>
      <c r="C20" s="0" t="s">
        <v>19</v>
      </c>
      <c r="D20" s="0" t="n">
        <v>1</v>
      </c>
      <c r="E20" s="0" t="s">
        <v>6</v>
      </c>
      <c r="F20" s="0" t="s">
        <v>54</v>
      </c>
      <c r="G20" s="0" t="n">
        <v>0.21</v>
      </c>
      <c r="H20" s="0" t="n">
        <v>5.08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s">
        <v>23</v>
      </c>
      <c r="D21" s="0" t="n">
        <v>2</v>
      </c>
      <c r="E21" s="0" t="s">
        <v>6</v>
      </c>
      <c r="F21" s="0" t="s">
        <v>54</v>
      </c>
      <c r="G21" s="0" t="n">
        <v>0.51</v>
      </c>
      <c r="H21" s="0" t="n">
        <v>7.59</v>
      </c>
    </row>
    <row r="22" customFormat="false" ht="15" hidden="false" customHeight="false" outlineLevel="0" collapsed="false">
      <c r="A22" s="0" t="n">
        <v>21</v>
      </c>
      <c r="B22" s="0" t="s">
        <v>22</v>
      </c>
      <c r="C22" s="0" t="s">
        <v>23</v>
      </c>
      <c r="D22" s="0" t="n">
        <v>2</v>
      </c>
      <c r="E22" s="0" t="s">
        <v>6</v>
      </c>
      <c r="F22" s="0" t="s">
        <v>54</v>
      </c>
      <c r="G22" s="0" t="n">
        <v>0.51</v>
      </c>
      <c r="H22" s="0" t="n">
        <v>4.78</v>
      </c>
    </row>
    <row r="23" customFormat="false" ht="15" hidden="false" customHeight="false" outlineLevel="0" collapsed="false">
      <c r="A23" s="0" t="n">
        <v>22</v>
      </c>
      <c r="B23" s="0" t="s">
        <v>22</v>
      </c>
      <c r="C23" s="0" t="s">
        <v>23</v>
      </c>
      <c r="D23" s="0" t="n">
        <v>2</v>
      </c>
      <c r="E23" s="0" t="s">
        <v>6</v>
      </c>
      <c r="F23" s="0" t="s">
        <v>54</v>
      </c>
      <c r="G23" s="0" t="n">
        <v>0.51</v>
      </c>
      <c r="H23" s="0" t="n">
        <v>6.07</v>
      </c>
    </row>
    <row r="24" customFormat="false" ht="15" hidden="false" customHeight="false" outlineLevel="0" collapsed="false">
      <c r="A24" s="0" t="n">
        <v>23</v>
      </c>
      <c r="B24" s="0" t="s">
        <v>18</v>
      </c>
      <c r="C24" s="0" t="s">
        <v>19</v>
      </c>
      <c r="D24" s="0" t="n">
        <v>1</v>
      </c>
      <c r="E24" s="0" t="s">
        <v>7</v>
      </c>
      <c r="F24" s="0" t="s">
        <v>56</v>
      </c>
      <c r="G24" s="0" t="n">
        <v>5.31</v>
      </c>
      <c r="H24" s="0" t="n">
        <v>6.54</v>
      </c>
    </row>
    <row r="25" customFormat="false" ht="15" hidden="false" customHeight="false" outlineLevel="0" collapsed="false">
      <c r="A25" s="0" t="n">
        <v>24</v>
      </c>
      <c r="B25" s="0" t="s">
        <v>18</v>
      </c>
      <c r="C25" s="0" t="s">
        <v>19</v>
      </c>
      <c r="D25" s="0" t="n">
        <v>1</v>
      </c>
      <c r="E25" s="0" t="s">
        <v>7</v>
      </c>
      <c r="F25" s="0" t="s">
        <v>56</v>
      </c>
      <c r="G25" s="0" t="n">
        <v>5.31</v>
      </c>
      <c r="H25" s="0" t="n">
        <v>5.34</v>
      </c>
    </row>
    <row r="26" customFormat="false" ht="15" hidden="false" customHeight="false" outlineLevel="0" collapsed="false">
      <c r="A26" s="0" t="n">
        <v>25</v>
      </c>
      <c r="B26" s="0" t="s">
        <v>22</v>
      </c>
      <c r="C26" s="0" t="s">
        <v>23</v>
      </c>
      <c r="D26" s="0" t="n">
        <v>2</v>
      </c>
      <c r="E26" s="0" t="s">
        <v>7</v>
      </c>
      <c r="F26" s="0" t="s">
        <v>56</v>
      </c>
      <c r="G26" s="0" t="n">
        <v>4.22</v>
      </c>
      <c r="H26" s="0" t="n">
        <v>4.85</v>
      </c>
    </row>
    <row r="27" customFormat="false" ht="15" hidden="false" customHeight="false" outlineLevel="0" collapsed="false">
      <c r="A27" s="0" t="n">
        <v>26</v>
      </c>
      <c r="B27" s="0" t="s">
        <v>22</v>
      </c>
      <c r="C27" s="0" t="s">
        <v>23</v>
      </c>
      <c r="D27" s="0" t="n">
        <v>2</v>
      </c>
      <c r="E27" s="0" t="s">
        <v>7</v>
      </c>
      <c r="F27" s="0" t="s">
        <v>52</v>
      </c>
      <c r="G27" s="0" t="n">
        <v>4.22</v>
      </c>
      <c r="H27" s="0" t="n">
        <v>6.96</v>
      </c>
    </row>
    <row r="28" customFormat="false" ht="15" hidden="false" customHeight="false" outlineLevel="0" collapsed="false">
      <c r="A28" s="0" t="n">
        <v>27</v>
      </c>
      <c r="B28" s="0" t="s">
        <v>22</v>
      </c>
      <c r="C28" s="0" t="s">
        <v>23</v>
      </c>
      <c r="D28" s="0" t="n">
        <v>2</v>
      </c>
      <c r="E28" s="0" t="s">
        <v>7</v>
      </c>
      <c r="F28" s="0" t="s">
        <v>52</v>
      </c>
      <c r="G28" s="0" t="n">
        <v>4.22</v>
      </c>
      <c r="H28" s="0" t="n">
        <v>6.76</v>
      </c>
    </row>
    <row r="29" customFormat="false" ht="15" hidden="false" customHeight="false" outlineLevel="0" collapsed="false">
      <c r="A29" s="0" t="n">
        <v>28</v>
      </c>
      <c r="B29" s="0" t="s">
        <v>18</v>
      </c>
      <c r="C29" s="0" t="s">
        <v>19</v>
      </c>
      <c r="D29" s="0" t="n">
        <v>1</v>
      </c>
      <c r="E29" s="0" t="s">
        <v>8</v>
      </c>
      <c r="F29" s="0" t="s">
        <v>57</v>
      </c>
      <c r="G29" s="0" t="n">
        <v>3.45</v>
      </c>
      <c r="H29" s="0" t="n">
        <v>-0.66</v>
      </c>
    </row>
    <row r="30" customFormat="false" ht="15" hidden="false" customHeight="false" outlineLevel="0" collapsed="false">
      <c r="A30" s="0" t="n">
        <v>29</v>
      </c>
      <c r="B30" s="0" t="s">
        <v>18</v>
      </c>
      <c r="C30" s="0" t="s">
        <v>19</v>
      </c>
      <c r="D30" s="0" t="n">
        <v>1</v>
      </c>
      <c r="E30" s="0" t="s">
        <v>8</v>
      </c>
      <c r="F30" s="0" t="s">
        <v>57</v>
      </c>
      <c r="G30" s="0" t="n">
        <v>5.01</v>
      </c>
      <c r="H30" s="0" t="n">
        <v>-0.96</v>
      </c>
    </row>
    <row r="31" customFormat="false" ht="15" hidden="false" customHeight="false" outlineLevel="0" collapsed="false">
      <c r="A31" s="0" t="n">
        <v>30</v>
      </c>
      <c r="B31" s="0" t="s">
        <v>18</v>
      </c>
      <c r="C31" s="0" t="s">
        <v>19</v>
      </c>
      <c r="D31" s="0" t="n">
        <v>1</v>
      </c>
      <c r="E31" s="0" t="s">
        <v>8</v>
      </c>
      <c r="F31" s="0" t="s">
        <v>58</v>
      </c>
      <c r="G31" s="0" t="n">
        <v>12.17</v>
      </c>
      <c r="H31" s="0" t="n">
        <v>3</v>
      </c>
    </row>
    <row r="32" customFormat="false" ht="15" hidden="false" customHeight="false" outlineLevel="0" collapsed="false">
      <c r="A32" s="0" t="n">
        <v>31</v>
      </c>
      <c r="B32" s="0" t="s">
        <v>18</v>
      </c>
      <c r="C32" s="0" t="s">
        <v>19</v>
      </c>
      <c r="D32" s="0" t="n">
        <v>1</v>
      </c>
      <c r="E32" s="0" t="s">
        <v>8</v>
      </c>
      <c r="F32" s="0" t="s">
        <v>51</v>
      </c>
      <c r="G32" s="0" t="n">
        <v>3.45</v>
      </c>
      <c r="H32" s="0" t="n">
        <v>2.04</v>
      </c>
    </row>
    <row r="33" customFormat="false" ht="15" hidden="false" customHeight="false" outlineLevel="0" collapsed="false">
      <c r="A33" s="0" t="n">
        <v>32</v>
      </c>
      <c r="B33" s="0" t="s">
        <v>18</v>
      </c>
      <c r="C33" s="0" t="s">
        <v>19</v>
      </c>
      <c r="D33" s="0" t="n">
        <v>1</v>
      </c>
      <c r="E33" s="0" t="s">
        <v>8</v>
      </c>
      <c r="F33" s="0" t="s">
        <v>51</v>
      </c>
      <c r="G33" s="0" t="n">
        <v>3.45</v>
      </c>
      <c r="H33" s="0" t="n">
        <v>1.04</v>
      </c>
    </row>
    <row r="34" customFormat="false" ht="15" hidden="false" customHeight="false" outlineLevel="0" collapsed="false">
      <c r="A34" s="0" t="n">
        <v>33</v>
      </c>
      <c r="B34" s="0" t="s">
        <v>18</v>
      </c>
      <c r="C34" s="0" t="s">
        <v>19</v>
      </c>
      <c r="D34" s="0" t="n">
        <v>1</v>
      </c>
      <c r="E34" s="0" t="s">
        <v>8</v>
      </c>
      <c r="F34" s="0" t="s">
        <v>59</v>
      </c>
      <c r="G34" s="0" t="n">
        <v>5.26</v>
      </c>
      <c r="H34" s="0" t="n">
        <v>2.42</v>
      </c>
    </row>
    <row r="35" customFormat="false" ht="15" hidden="false" customHeight="false" outlineLevel="0" collapsed="false">
      <c r="A35" s="0" t="n">
        <v>34</v>
      </c>
      <c r="B35" s="0" t="s">
        <v>18</v>
      </c>
      <c r="C35" s="0" t="s">
        <v>19</v>
      </c>
      <c r="D35" s="0" t="n">
        <v>1</v>
      </c>
      <c r="E35" s="0" t="s">
        <v>8</v>
      </c>
      <c r="F35" s="0" t="s">
        <v>59</v>
      </c>
      <c r="G35" s="0" t="n">
        <v>5.26</v>
      </c>
      <c r="H35" s="0" t="n">
        <v>1.42</v>
      </c>
    </row>
    <row r="36" customFormat="false" ht="15" hidden="false" customHeight="false" outlineLevel="0" collapsed="false">
      <c r="A36" s="0" t="n">
        <v>35</v>
      </c>
      <c r="B36" s="0" t="s">
        <v>18</v>
      </c>
      <c r="C36" s="0" t="s">
        <v>19</v>
      </c>
      <c r="D36" s="0" t="n">
        <v>1</v>
      </c>
      <c r="E36" s="0" t="s">
        <v>8</v>
      </c>
      <c r="F36" s="0" t="s">
        <v>59</v>
      </c>
      <c r="G36" s="0" t="n">
        <v>5.26</v>
      </c>
      <c r="H36" s="0" t="n">
        <v>3.42</v>
      </c>
    </row>
    <row r="37" customFormat="false" ht="15" hidden="false" customHeight="false" outlineLevel="0" collapsed="false">
      <c r="A37" s="0" t="n">
        <v>36</v>
      </c>
      <c r="B37" s="0" t="s">
        <v>18</v>
      </c>
      <c r="C37" s="0" t="s">
        <v>19</v>
      </c>
      <c r="D37" s="0" t="n">
        <v>1</v>
      </c>
      <c r="E37" s="0" t="s">
        <v>8</v>
      </c>
      <c r="F37" s="0" t="s">
        <v>58</v>
      </c>
      <c r="G37" s="0" t="n">
        <v>12.17</v>
      </c>
      <c r="H37" s="0" t="n">
        <v>-0.13</v>
      </c>
    </row>
    <row r="38" customFormat="false" ht="15" hidden="false" customHeight="false" outlineLevel="0" collapsed="false">
      <c r="A38" s="0" t="n">
        <v>37</v>
      </c>
      <c r="B38" s="0" t="s">
        <v>18</v>
      </c>
      <c r="C38" s="0" t="s">
        <v>19</v>
      </c>
      <c r="D38" s="0" t="n">
        <v>1</v>
      </c>
      <c r="E38" s="0" t="s">
        <v>8</v>
      </c>
      <c r="F38" s="0" t="s">
        <v>58</v>
      </c>
      <c r="G38" s="0" t="n">
        <v>7.99</v>
      </c>
      <c r="H38" s="0" t="n">
        <v>3</v>
      </c>
    </row>
    <row r="39" customFormat="false" ht="15" hidden="false" customHeight="false" outlineLevel="0" collapsed="false">
      <c r="A39" s="0" t="n">
        <v>38</v>
      </c>
      <c r="B39" s="0" t="s">
        <v>18</v>
      </c>
      <c r="C39" s="0" t="s">
        <v>19</v>
      </c>
      <c r="D39" s="0" t="n">
        <v>1</v>
      </c>
      <c r="E39" s="0" t="s">
        <v>8</v>
      </c>
      <c r="F39" s="0" t="s">
        <v>58</v>
      </c>
      <c r="G39" s="0" t="n">
        <v>7.99</v>
      </c>
      <c r="H39" s="0" t="n">
        <v>-0.13</v>
      </c>
    </row>
    <row r="40" customFormat="false" ht="15" hidden="false" customHeight="false" outlineLevel="0" collapsed="false">
      <c r="A40" s="0" t="n">
        <v>39</v>
      </c>
      <c r="B40" s="0" t="s">
        <v>18</v>
      </c>
      <c r="C40" s="0" t="s">
        <v>19</v>
      </c>
      <c r="D40" s="0" t="n">
        <v>1</v>
      </c>
      <c r="E40" s="0" t="s">
        <v>8</v>
      </c>
      <c r="F40" s="0" t="s">
        <v>58</v>
      </c>
      <c r="G40" s="0" t="n">
        <v>10.09</v>
      </c>
      <c r="H40" s="0" t="n">
        <v>3</v>
      </c>
    </row>
    <row r="41" customFormat="false" ht="15" hidden="false" customHeight="false" outlineLevel="0" collapsed="false">
      <c r="A41" s="0" t="n">
        <v>40</v>
      </c>
      <c r="B41" s="0" t="s">
        <v>18</v>
      </c>
      <c r="C41" s="0" t="s">
        <v>19</v>
      </c>
      <c r="D41" s="0" t="n">
        <v>1</v>
      </c>
      <c r="E41" s="0" t="s">
        <v>8</v>
      </c>
      <c r="F41" s="0" t="s">
        <v>58</v>
      </c>
      <c r="G41" s="0" t="n">
        <v>10.09</v>
      </c>
      <c r="H41" s="0" t="n">
        <v>-0.13</v>
      </c>
    </row>
    <row r="42" customFormat="false" ht="15" hidden="false" customHeight="false" outlineLevel="0" collapsed="false">
      <c r="A42" s="0" t="n">
        <v>41</v>
      </c>
      <c r="B42" s="0" t="s">
        <v>18</v>
      </c>
      <c r="C42" s="0" t="s">
        <v>19</v>
      </c>
      <c r="D42" s="0" t="n">
        <v>1</v>
      </c>
      <c r="E42" s="0" t="s">
        <v>8</v>
      </c>
      <c r="F42" s="0" t="s">
        <v>52</v>
      </c>
      <c r="G42" s="0" t="n">
        <v>10.08</v>
      </c>
      <c r="H42" s="0" t="n">
        <v>1.44</v>
      </c>
    </row>
    <row r="43" customFormat="false" ht="15" hidden="false" customHeight="false" outlineLevel="0" collapsed="false">
      <c r="A43" s="0" t="n">
        <v>42</v>
      </c>
      <c r="B43" s="0" t="s">
        <v>18</v>
      </c>
      <c r="C43" s="0" t="s">
        <v>19</v>
      </c>
      <c r="D43" s="0" t="n">
        <v>1</v>
      </c>
      <c r="E43" s="0" t="s">
        <v>8</v>
      </c>
      <c r="F43" s="0" t="s">
        <v>60</v>
      </c>
      <c r="G43" s="0" t="n">
        <v>7.99</v>
      </c>
      <c r="H43" s="0" t="n">
        <v>1.44</v>
      </c>
    </row>
    <row r="44" customFormat="false" ht="15" hidden="false" customHeight="false" outlineLevel="0" collapsed="false">
      <c r="A44" s="0" t="n">
        <v>43</v>
      </c>
      <c r="B44" s="0" t="s">
        <v>18</v>
      </c>
      <c r="C44" s="0" t="s">
        <v>19</v>
      </c>
      <c r="D44" s="0" t="n">
        <v>1</v>
      </c>
      <c r="E44" s="0" t="s">
        <v>8</v>
      </c>
      <c r="F44" s="0" t="s">
        <v>60</v>
      </c>
      <c r="G44" s="0" t="n">
        <v>12.17</v>
      </c>
      <c r="H44" s="0" t="n">
        <v>1.44</v>
      </c>
    </row>
    <row r="45" customFormat="false" ht="15" hidden="false" customHeight="false" outlineLevel="0" collapsed="false">
      <c r="A45" s="0" t="n">
        <v>44</v>
      </c>
      <c r="B45" s="0" t="s">
        <v>21</v>
      </c>
      <c r="C45" s="0" t="s">
        <v>19</v>
      </c>
      <c r="D45" s="0" t="n">
        <v>1</v>
      </c>
      <c r="E45" s="0" t="s">
        <v>8</v>
      </c>
      <c r="F45" s="0" t="s">
        <v>60</v>
      </c>
      <c r="G45" s="0" t="n">
        <v>7.99</v>
      </c>
      <c r="H45" s="0" t="n">
        <v>1.44</v>
      </c>
    </row>
    <row r="46" customFormat="false" ht="15" hidden="false" customHeight="false" outlineLevel="0" collapsed="false">
      <c r="A46" s="0" t="n">
        <v>45</v>
      </c>
      <c r="B46" s="0" t="s">
        <v>21</v>
      </c>
      <c r="C46" s="0" t="s">
        <v>19</v>
      </c>
      <c r="D46" s="0" t="n">
        <v>1</v>
      </c>
      <c r="E46" s="0" t="s">
        <v>8</v>
      </c>
      <c r="F46" s="0" t="s">
        <v>60</v>
      </c>
      <c r="G46" s="0" t="n">
        <v>12.17</v>
      </c>
      <c r="H46" s="0" t="n">
        <v>1.44</v>
      </c>
    </row>
    <row r="47" customFormat="false" ht="15" hidden="false" customHeight="false" outlineLevel="0" collapsed="false">
      <c r="A47" s="0" t="n">
        <v>46</v>
      </c>
      <c r="B47" s="0" t="s">
        <v>22</v>
      </c>
      <c r="C47" s="0" t="s">
        <v>23</v>
      </c>
      <c r="D47" s="0" t="n">
        <v>2</v>
      </c>
      <c r="E47" s="0" t="s">
        <v>8</v>
      </c>
      <c r="F47" s="0" t="s">
        <v>61</v>
      </c>
      <c r="G47" s="0" t="n">
        <v>14.04</v>
      </c>
      <c r="H47" s="0" t="n">
        <v>1.17</v>
      </c>
    </row>
    <row r="48" customFormat="false" ht="15" hidden="false" customHeight="false" outlineLevel="0" collapsed="false">
      <c r="A48" s="0" t="n">
        <v>47</v>
      </c>
      <c r="B48" s="0" t="s">
        <v>22</v>
      </c>
      <c r="C48" s="0" t="s">
        <v>23</v>
      </c>
      <c r="D48" s="0" t="n">
        <v>2</v>
      </c>
      <c r="E48" s="0" t="s">
        <v>8</v>
      </c>
      <c r="F48" s="0" t="s">
        <v>61</v>
      </c>
      <c r="G48" s="0" t="n">
        <v>14.04</v>
      </c>
      <c r="H48" s="0" t="n">
        <v>1.96</v>
      </c>
    </row>
    <row r="49" customFormat="false" ht="15" hidden="false" customHeight="false" outlineLevel="0" collapsed="false">
      <c r="A49" s="0" t="n">
        <v>48</v>
      </c>
      <c r="B49" s="0" t="s">
        <v>22</v>
      </c>
      <c r="C49" s="0" t="s">
        <v>23</v>
      </c>
      <c r="D49" s="0" t="n">
        <v>2</v>
      </c>
      <c r="E49" s="0" t="s">
        <v>8</v>
      </c>
      <c r="F49" s="0" t="s">
        <v>51</v>
      </c>
      <c r="G49" s="0" t="n">
        <v>4.21</v>
      </c>
      <c r="H49" s="0" t="n">
        <v>3.07</v>
      </c>
    </row>
    <row r="50" customFormat="false" ht="15" hidden="false" customHeight="false" outlineLevel="0" collapsed="false">
      <c r="A50" s="0" t="n">
        <v>49</v>
      </c>
      <c r="B50" s="0" t="s">
        <v>22</v>
      </c>
      <c r="C50" s="0" t="s">
        <v>23</v>
      </c>
      <c r="D50" s="0" t="n">
        <v>1</v>
      </c>
      <c r="E50" s="0" t="s">
        <v>8</v>
      </c>
      <c r="F50" s="0" t="s">
        <v>51</v>
      </c>
      <c r="G50" s="0" t="n">
        <v>4.18</v>
      </c>
      <c r="H50" s="0" t="n">
        <v>4.06</v>
      </c>
    </row>
    <row r="51" customFormat="false" ht="15" hidden="false" customHeight="false" outlineLevel="0" collapsed="false">
      <c r="A51" s="0" t="n">
        <v>50</v>
      </c>
      <c r="B51" s="0" t="s">
        <v>22</v>
      </c>
      <c r="C51" s="0" t="s">
        <v>23</v>
      </c>
      <c r="D51" s="0" t="n">
        <v>1</v>
      </c>
      <c r="E51" s="0" t="s">
        <v>8</v>
      </c>
      <c r="F51" s="0" t="s">
        <v>51</v>
      </c>
      <c r="G51" s="0" t="n">
        <v>4.18</v>
      </c>
      <c r="H51" s="0" t="n">
        <v>4.26</v>
      </c>
    </row>
    <row r="52" customFormat="false" ht="15" hidden="false" customHeight="false" outlineLevel="0" collapsed="false">
      <c r="A52" s="0" t="n">
        <v>51</v>
      </c>
      <c r="B52" s="0" t="s">
        <v>22</v>
      </c>
      <c r="C52" s="0" t="s">
        <v>23</v>
      </c>
      <c r="D52" s="0" t="n">
        <v>1</v>
      </c>
      <c r="E52" s="0" t="s">
        <v>8</v>
      </c>
      <c r="F52" s="0" t="s">
        <v>51</v>
      </c>
      <c r="G52" s="0" t="n">
        <v>4.18</v>
      </c>
      <c r="H52" s="0" t="n">
        <v>2.84</v>
      </c>
    </row>
    <row r="53" customFormat="false" ht="15" hidden="false" customHeight="false" outlineLevel="0" collapsed="false">
      <c r="A53" s="0" t="n">
        <v>52</v>
      </c>
      <c r="B53" s="0" t="s">
        <v>22</v>
      </c>
      <c r="C53" s="0" t="s">
        <v>23</v>
      </c>
      <c r="D53" s="0" t="n">
        <v>2</v>
      </c>
      <c r="E53" s="0" t="s">
        <v>8</v>
      </c>
      <c r="F53" s="0" t="s">
        <v>52</v>
      </c>
      <c r="G53" s="0" t="n">
        <v>14.03</v>
      </c>
      <c r="H53" s="0" t="n">
        <v>-1.03</v>
      </c>
    </row>
    <row r="54" customFormat="false" ht="15" hidden="false" customHeight="false" outlineLevel="0" collapsed="false">
      <c r="A54" s="0" t="n">
        <v>53</v>
      </c>
      <c r="B54" s="0" t="s">
        <v>22</v>
      </c>
      <c r="C54" s="0" t="s">
        <v>23</v>
      </c>
      <c r="D54" s="0" t="n">
        <v>2</v>
      </c>
      <c r="E54" s="0" t="s">
        <v>8</v>
      </c>
      <c r="F54" s="0" t="s">
        <v>52</v>
      </c>
      <c r="G54" s="0" t="n">
        <v>6.78</v>
      </c>
      <c r="H54" s="0" t="n">
        <v>-1.51</v>
      </c>
    </row>
    <row r="55" customFormat="false" ht="15" hidden="false" customHeight="false" outlineLevel="0" collapsed="false">
      <c r="A55" s="0" t="n">
        <v>54</v>
      </c>
      <c r="B55" s="0" t="s">
        <v>22</v>
      </c>
      <c r="C55" s="0" t="s">
        <v>23</v>
      </c>
      <c r="D55" s="0" t="n">
        <v>2</v>
      </c>
      <c r="E55" s="0" t="s">
        <v>8</v>
      </c>
      <c r="F55" s="0" t="s">
        <v>62</v>
      </c>
      <c r="G55" s="0" t="n">
        <v>10.36</v>
      </c>
      <c r="H55" s="0" t="n">
        <v>-1.52</v>
      </c>
    </row>
    <row r="56" customFormat="false" ht="15" hidden="false" customHeight="false" outlineLevel="0" collapsed="false">
      <c r="A56" s="0" t="n">
        <v>55</v>
      </c>
      <c r="B56" s="0" t="s">
        <v>22</v>
      </c>
      <c r="C56" s="0" t="s">
        <v>23</v>
      </c>
      <c r="D56" s="0" t="n">
        <v>2</v>
      </c>
      <c r="E56" s="0" t="s">
        <v>8</v>
      </c>
      <c r="F56" s="0" t="s">
        <v>60</v>
      </c>
      <c r="G56" s="0" t="n">
        <v>6.55</v>
      </c>
      <c r="H56" s="0" t="n">
        <v>3.38</v>
      </c>
    </row>
    <row r="57" customFormat="false" ht="15" hidden="false" customHeight="false" outlineLevel="0" collapsed="false">
      <c r="A57" s="0" t="n">
        <v>56</v>
      </c>
      <c r="B57" s="0" t="s">
        <v>22</v>
      </c>
      <c r="C57" s="0" t="s">
        <v>23</v>
      </c>
      <c r="D57" s="0" t="n">
        <v>2</v>
      </c>
      <c r="E57" s="0" t="s">
        <v>8</v>
      </c>
      <c r="F57" s="0" t="s">
        <v>52</v>
      </c>
      <c r="G57" s="0" t="n">
        <v>14.04</v>
      </c>
      <c r="H57" s="0" t="n">
        <v>3.91</v>
      </c>
    </row>
    <row r="58" customFormat="false" ht="15" hidden="false" customHeight="false" outlineLevel="0" collapsed="false">
      <c r="A58" s="0" t="n">
        <v>57</v>
      </c>
      <c r="B58" s="0" t="s">
        <v>22</v>
      </c>
      <c r="C58" s="0" t="s">
        <v>23</v>
      </c>
      <c r="D58" s="0" t="n">
        <v>2</v>
      </c>
      <c r="E58" s="0" t="s">
        <v>8</v>
      </c>
      <c r="F58" s="0" t="s">
        <v>51</v>
      </c>
      <c r="G58" s="0" t="n">
        <v>4.21</v>
      </c>
      <c r="H58" s="0" t="n">
        <v>1.45</v>
      </c>
    </row>
    <row r="59" customFormat="false" ht="15" hidden="false" customHeight="false" outlineLevel="0" collapsed="false">
      <c r="A59" s="0" t="n">
        <v>58</v>
      </c>
      <c r="B59" s="0" t="s">
        <v>22</v>
      </c>
      <c r="C59" s="0" t="s">
        <v>23</v>
      </c>
      <c r="D59" s="0" t="n">
        <v>2</v>
      </c>
      <c r="E59" s="0" t="s">
        <v>8</v>
      </c>
      <c r="F59" s="0" t="s">
        <v>61</v>
      </c>
      <c r="G59" s="0" t="n">
        <v>14.04</v>
      </c>
      <c r="H59" s="0" t="n">
        <v>0.73</v>
      </c>
    </row>
    <row r="60" customFormat="false" ht="15" hidden="false" customHeight="false" outlineLevel="0" collapsed="false">
      <c r="A60" s="0" t="n">
        <v>59</v>
      </c>
      <c r="B60" s="0" t="s">
        <v>22</v>
      </c>
      <c r="C60" s="0" t="s">
        <v>23</v>
      </c>
      <c r="D60" s="0" t="n">
        <v>2</v>
      </c>
      <c r="E60" s="0" t="s">
        <v>8</v>
      </c>
      <c r="F60" s="0" t="s">
        <v>51</v>
      </c>
      <c r="G60" s="0" t="n">
        <v>4.2</v>
      </c>
      <c r="H60" s="0" t="n">
        <v>0.8</v>
      </c>
    </row>
    <row r="61" customFormat="false" ht="15" hidden="false" customHeight="false" outlineLevel="0" collapsed="false">
      <c r="A61" s="0" t="n">
        <v>60</v>
      </c>
      <c r="B61" s="0" t="s">
        <v>24</v>
      </c>
      <c r="C61" s="0" t="s">
        <v>25</v>
      </c>
      <c r="D61" s="0" t="n">
        <v>1</v>
      </c>
      <c r="E61" s="0" t="s">
        <v>8</v>
      </c>
      <c r="F61" s="0" t="s">
        <v>61</v>
      </c>
      <c r="G61" s="0" t="n">
        <v>14.07</v>
      </c>
      <c r="H61" s="0" t="n">
        <v>0.95</v>
      </c>
    </row>
    <row r="62" customFormat="false" ht="15" hidden="false" customHeight="false" outlineLevel="0" collapsed="false">
      <c r="A62" s="0" t="n">
        <v>61</v>
      </c>
      <c r="B62" s="0" t="s">
        <v>28</v>
      </c>
      <c r="C62" s="0" t="s">
        <v>29</v>
      </c>
      <c r="D62" s="0" t="n">
        <v>1</v>
      </c>
      <c r="E62" s="0" t="s">
        <v>8</v>
      </c>
      <c r="F62" s="0" t="s">
        <v>52</v>
      </c>
      <c r="G62" s="0" t="n">
        <v>13.96</v>
      </c>
      <c r="H62" s="0" t="n">
        <v>1.39</v>
      </c>
    </row>
    <row r="63" customFormat="false" ht="15" hidden="false" customHeight="false" outlineLevel="0" collapsed="false">
      <c r="A63" s="0" t="n">
        <v>62</v>
      </c>
      <c r="B63" s="0" t="s">
        <v>30</v>
      </c>
      <c r="C63" s="0" t="s">
        <v>29</v>
      </c>
      <c r="D63" s="0" t="n">
        <v>1</v>
      </c>
      <c r="E63" s="0" t="s">
        <v>8</v>
      </c>
      <c r="F63" s="0" t="s">
        <v>52</v>
      </c>
      <c r="G63" s="0" t="n">
        <v>13.97</v>
      </c>
      <c r="H63" s="0" t="n">
        <v>1.67</v>
      </c>
    </row>
    <row r="64" customFormat="false" ht="15" hidden="false" customHeight="false" outlineLevel="0" collapsed="false">
      <c r="A64" s="0" t="n">
        <v>63</v>
      </c>
      <c r="B64" s="0" t="s">
        <v>31</v>
      </c>
      <c r="C64" s="0" t="s">
        <v>29</v>
      </c>
      <c r="D64" s="0" t="n">
        <v>1</v>
      </c>
      <c r="E64" s="0" t="s">
        <v>8</v>
      </c>
      <c r="F64" s="0" t="s">
        <v>52</v>
      </c>
      <c r="G64" s="0" t="n">
        <v>5.64</v>
      </c>
      <c r="H64" s="0" t="n">
        <v>0.55</v>
      </c>
    </row>
    <row r="65" customFormat="false" ht="15" hidden="false" customHeight="false" outlineLevel="0" collapsed="false">
      <c r="A65" s="0" t="n">
        <v>64</v>
      </c>
      <c r="B65" s="0" t="s">
        <v>32</v>
      </c>
      <c r="C65" s="0" t="s">
        <v>33</v>
      </c>
      <c r="D65" s="0" t="n">
        <v>1</v>
      </c>
      <c r="E65" s="0" t="s">
        <v>8</v>
      </c>
      <c r="F65" s="0" t="s">
        <v>52</v>
      </c>
      <c r="G65" s="0" t="n">
        <v>5.91</v>
      </c>
      <c r="H65" s="0" t="n">
        <v>0.54</v>
      </c>
    </row>
    <row r="66" customFormat="false" ht="15" hidden="false" customHeight="false" outlineLevel="0" collapsed="false">
      <c r="A66" s="0" t="n">
        <v>65</v>
      </c>
      <c r="B66" s="0" t="s">
        <v>18</v>
      </c>
      <c r="C66" s="0" t="s">
        <v>19</v>
      </c>
      <c r="D66" s="0" t="n">
        <v>1</v>
      </c>
      <c r="E66" s="0" t="s">
        <v>9</v>
      </c>
      <c r="F66" s="0" t="s">
        <v>63</v>
      </c>
      <c r="G66" s="0" t="n">
        <v>1.3</v>
      </c>
      <c r="H66" s="0" t="n">
        <v>1.3</v>
      </c>
    </row>
    <row r="67" customFormat="false" ht="15" hidden="false" customHeight="false" outlineLevel="0" collapsed="false">
      <c r="A67" s="0" t="n">
        <v>66</v>
      </c>
      <c r="B67" s="0" t="s">
        <v>18</v>
      </c>
      <c r="C67" s="0" t="s">
        <v>19</v>
      </c>
      <c r="D67" s="0" t="n">
        <v>1</v>
      </c>
      <c r="E67" s="0" t="s">
        <v>9</v>
      </c>
      <c r="F67" s="0" t="s">
        <v>63</v>
      </c>
      <c r="G67" s="0" t="n">
        <v>2.3</v>
      </c>
      <c r="H67" s="0" t="n">
        <v>1.3</v>
      </c>
    </row>
    <row r="68" customFormat="false" ht="15" hidden="false" customHeight="false" outlineLevel="0" collapsed="false">
      <c r="A68" s="0" t="n">
        <v>67</v>
      </c>
      <c r="B68" s="0" t="s">
        <v>20</v>
      </c>
      <c r="C68" s="0" t="s">
        <v>19</v>
      </c>
      <c r="D68" s="0" t="n">
        <v>1</v>
      </c>
      <c r="E68" s="0" t="s">
        <v>9</v>
      </c>
      <c r="F68" s="0" t="s">
        <v>64</v>
      </c>
      <c r="G68" s="0" t="n">
        <v>2.15</v>
      </c>
      <c r="H68" s="0" t="n">
        <v>2.05</v>
      </c>
    </row>
    <row r="69" customFormat="false" ht="15" hidden="false" customHeight="false" outlineLevel="0" collapsed="false">
      <c r="A69" s="0" t="n">
        <v>68</v>
      </c>
      <c r="B69" s="0" t="s">
        <v>22</v>
      </c>
      <c r="C69" s="0" t="s">
        <v>23</v>
      </c>
      <c r="D69" s="0" t="n">
        <v>2</v>
      </c>
      <c r="E69" s="0" t="s">
        <v>9</v>
      </c>
      <c r="F69" s="0" t="s">
        <v>64</v>
      </c>
      <c r="G69" s="0" t="n">
        <v>2.75</v>
      </c>
      <c r="H69" s="0" t="n">
        <v>2.05</v>
      </c>
    </row>
    <row r="70" customFormat="false" ht="15" hidden="false" customHeight="false" outlineLevel="0" collapsed="false">
      <c r="A70" s="0" t="n">
        <v>69</v>
      </c>
      <c r="B70" s="0" t="s">
        <v>18</v>
      </c>
      <c r="C70" s="0" t="s">
        <v>19</v>
      </c>
      <c r="D70" s="0" t="n">
        <v>1</v>
      </c>
      <c r="E70" s="0" t="s">
        <v>10</v>
      </c>
      <c r="F70" s="0" t="s">
        <v>65</v>
      </c>
      <c r="G70" s="0" t="n">
        <v>1.3</v>
      </c>
      <c r="H70" s="0" t="n">
        <v>-0.66</v>
      </c>
    </row>
    <row r="71" customFormat="false" ht="15" hidden="false" customHeight="false" outlineLevel="0" collapsed="false">
      <c r="A71" s="0" t="n">
        <v>70</v>
      </c>
      <c r="B71" s="0" t="s">
        <v>18</v>
      </c>
      <c r="C71" s="0" t="s">
        <v>19</v>
      </c>
      <c r="D71" s="0" t="n">
        <v>1</v>
      </c>
      <c r="E71" s="0" t="s">
        <v>10</v>
      </c>
      <c r="F71" s="0" t="s">
        <v>65</v>
      </c>
      <c r="G71" s="0" t="n">
        <v>2.29</v>
      </c>
      <c r="H71" s="0" t="n">
        <v>-0.66</v>
      </c>
    </row>
    <row r="72" customFormat="false" ht="15" hidden="false" customHeight="false" outlineLevel="0" collapsed="false">
      <c r="A72" s="0" t="n">
        <v>71</v>
      </c>
      <c r="B72" s="0" t="s">
        <v>20</v>
      </c>
      <c r="C72" s="0" t="s">
        <v>19</v>
      </c>
      <c r="D72" s="0" t="n">
        <v>1</v>
      </c>
      <c r="E72" s="0" t="s">
        <v>10</v>
      </c>
      <c r="F72" s="0" t="s">
        <v>66</v>
      </c>
      <c r="G72" s="0" t="n">
        <v>2.15</v>
      </c>
      <c r="H72" s="0" t="n">
        <v>-1.42</v>
      </c>
    </row>
    <row r="73" customFormat="false" ht="15" hidden="false" customHeight="false" outlineLevel="0" collapsed="false">
      <c r="A73" s="0" t="n">
        <v>72</v>
      </c>
      <c r="B73" s="0" t="s">
        <v>22</v>
      </c>
      <c r="C73" s="0" t="s">
        <v>23</v>
      </c>
      <c r="D73" s="0" t="n">
        <v>2</v>
      </c>
      <c r="E73" s="0" t="s">
        <v>10</v>
      </c>
      <c r="F73" s="0" t="s">
        <v>66</v>
      </c>
      <c r="G73" s="0" t="n">
        <v>2.75</v>
      </c>
      <c r="H73" s="0" t="n">
        <v>-1.42</v>
      </c>
    </row>
    <row r="74" customFormat="false" ht="15" hidden="false" customHeight="false" outlineLevel="0" collapsed="false">
      <c r="A74" s="0" t="n">
        <v>73</v>
      </c>
      <c r="B74" s="0" t="s">
        <v>22</v>
      </c>
      <c r="C74" s="0" t="s">
        <v>23</v>
      </c>
      <c r="D74" s="0" t="n">
        <v>2</v>
      </c>
      <c r="E74" s="0" t="s">
        <v>10</v>
      </c>
      <c r="F74" s="0" t="s">
        <v>57</v>
      </c>
      <c r="G74" s="0" t="n">
        <v>3.02</v>
      </c>
      <c r="H74" s="0" t="n">
        <v>-0.03</v>
      </c>
    </row>
    <row r="75" customFormat="false" ht="15" hidden="false" customHeight="false" outlineLevel="0" collapsed="false">
      <c r="A75" s="0" t="n">
        <v>74</v>
      </c>
      <c r="B75" s="0" t="s">
        <v>18</v>
      </c>
      <c r="C75" s="0" t="s">
        <v>19</v>
      </c>
      <c r="D75" s="0" t="n">
        <v>1</v>
      </c>
      <c r="E75" s="0" t="s">
        <v>11</v>
      </c>
      <c r="F75" s="0" t="s">
        <v>67</v>
      </c>
      <c r="G75" s="0" t="n">
        <v>2.38</v>
      </c>
      <c r="H75" s="0" t="n">
        <v>-3.85</v>
      </c>
    </row>
    <row r="76" customFormat="false" ht="15" hidden="false" customHeight="false" outlineLevel="0" collapsed="false">
      <c r="A76" s="0" t="n">
        <v>75</v>
      </c>
      <c r="B76" s="0" t="s">
        <v>20</v>
      </c>
      <c r="C76" s="0" t="s">
        <v>19</v>
      </c>
      <c r="D76" s="0" t="n">
        <v>1</v>
      </c>
      <c r="E76" s="0" t="s">
        <v>11</v>
      </c>
      <c r="F76" s="0" t="s">
        <v>61</v>
      </c>
      <c r="G76" s="0" t="n">
        <v>0.87</v>
      </c>
      <c r="H76" s="0" t="n">
        <v>-5.68</v>
      </c>
    </row>
    <row r="77" customFormat="false" ht="15" hidden="false" customHeight="false" outlineLevel="0" collapsed="false">
      <c r="A77" s="0" t="n">
        <v>76</v>
      </c>
      <c r="B77" s="0" t="s">
        <v>22</v>
      </c>
      <c r="C77" s="0" t="s">
        <v>23</v>
      </c>
      <c r="D77" s="0" t="n">
        <v>2</v>
      </c>
      <c r="E77" s="0" t="s">
        <v>11</v>
      </c>
      <c r="F77" s="0" t="s">
        <v>52</v>
      </c>
      <c r="G77" s="0" t="n">
        <v>3.9</v>
      </c>
      <c r="H77" s="0" t="n">
        <v>-4.07</v>
      </c>
    </row>
    <row r="78" customFormat="false" ht="15" hidden="false" customHeight="false" outlineLevel="0" collapsed="false">
      <c r="A78" s="0" t="n">
        <v>77</v>
      </c>
      <c r="B78" s="0" t="s">
        <v>22</v>
      </c>
      <c r="C78" s="0" t="s">
        <v>23</v>
      </c>
      <c r="D78" s="0" t="n">
        <v>2</v>
      </c>
      <c r="E78" s="0" t="s">
        <v>11</v>
      </c>
      <c r="F78" s="0" t="s">
        <v>52</v>
      </c>
      <c r="G78" s="0" t="n">
        <v>3.9</v>
      </c>
      <c r="H78" s="0" t="n">
        <v>-3.64</v>
      </c>
    </row>
    <row r="79" customFormat="false" ht="15" hidden="false" customHeight="false" outlineLevel="0" collapsed="false">
      <c r="A79" s="0" t="n">
        <v>78</v>
      </c>
      <c r="B79" s="0" t="s">
        <v>22</v>
      </c>
      <c r="C79" s="0" t="s">
        <v>23</v>
      </c>
      <c r="D79" s="0" t="n">
        <v>2</v>
      </c>
      <c r="E79" s="0" t="s">
        <v>11</v>
      </c>
      <c r="F79" s="0" t="s">
        <v>61</v>
      </c>
      <c r="G79" s="0" t="n">
        <v>3.69</v>
      </c>
      <c r="H79" s="0" t="n">
        <v>-5.28</v>
      </c>
    </row>
    <row r="80" customFormat="false" ht="15" hidden="false" customHeight="false" outlineLevel="0" collapsed="false">
      <c r="A80" s="0" t="n">
        <v>79</v>
      </c>
      <c r="B80" s="0" t="s">
        <v>22</v>
      </c>
      <c r="C80" s="0" t="s">
        <v>23</v>
      </c>
      <c r="D80" s="0" t="n">
        <v>2</v>
      </c>
      <c r="E80" s="0" t="s">
        <v>11</v>
      </c>
      <c r="F80" s="0" t="s">
        <v>67</v>
      </c>
      <c r="G80" s="0" t="n">
        <v>0.84</v>
      </c>
      <c r="H80" s="0" t="n">
        <v>-4.7</v>
      </c>
    </row>
    <row r="81" customFormat="false" ht="15" hidden="false" customHeight="false" outlineLevel="0" collapsed="false">
      <c r="A81" s="0" t="n">
        <v>80</v>
      </c>
      <c r="B81" s="0" t="s">
        <v>24</v>
      </c>
      <c r="C81" s="0" t="s">
        <v>25</v>
      </c>
      <c r="D81" s="0" t="n">
        <v>1</v>
      </c>
      <c r="E81" s="0" t="s">
        <v>11</v>
      </c>
      <c r="F81" s="0" t="s">
        <v>67</v>
      </c>
      <c r="G81" s="0" t="n">
        <v>0.81</v>
      </c>
      <c r="H81" s="0" t="n">
        <v>-4.91</v>
      </c>
    </row>
    <row r="82" customFormat="false" ht="15" hidden="false" customHeight="false" outlineLevel="0" collapsed="false">
      <c r="A82" s="0" t="n">
        <v>81</v>
      </c>
      <c r="B82" s="0" t="s">
        <v>28</v>
      </c>
      <c r="C82" s="0" t="s">
        <v>29</v>
      </c>
      <c r="D82" s="0" t="n">
        <v>1</v>
      </c>
      <c r="E82" s="0" t="s">
        <v>11</v>
      </c>
      <c r="F82" s="0" t="s">
        <v>52</v>
      </c>
      <c r="G82" s="0" t="n">
        <v>3.83</v>
      </c>
      <c r="H82" s="0" t="n">
        <v>-3.85</v>
      </c>
    </row>
    <row r="83" customFormat="false" ht="15" hidden="false" customHeight="false" outlineLevel="0" collapsed="false">
      <c r="A83" s="0" t="n">
        <v>82</v>
      </c>
      <c r="B83" s="0" t="s">
        <v>18</v>
      </c>
      <c r="C83" s="0" t="s">
        <v>19</v>
      </c>
      <c r="D83" s="0" t="n">
        <v>1</v>
      </c>
      <c r="E83" s="0" t="s">
        <v>12</v>
      </c>
      <c r="F83" s="0" t="s">
        <v>68</v>
      </c>
      <c r="G83" s="0" t="n">
        <v>5.72</v>
      </c>
      <c r="H83" s="0" t="n">
        <v>-3.85</v>
      </c>
    </row>
    <row r="84" customFormat="false" ht="15" hidden="false" customHeight="false" outlineLevel="0" collapsed="false">
      <c r="A84" s="0" t="n">
        <v>83</v>
      </c>
      <c r="B84" s="0" t="s">
        <v>20</v>
      </c>
      <c r="C84" s="0" t="s">
        <v>19</v>
      </c>
      <c r="D84" s="0" t="n">
        <v>1</v>
      </c>
      <c r="E84" s="0" t="s">
        <v>12</v>
      </c>
      <c r="F84" s="0" t="s">
        <v>61</v>
      </c>
      <c r="G84" s="0" t="n">
        <v>4.04</v>
      </c>
      <c r="H84" s="0" t="n">
        <v>-5.68</v>
      </c>
    </row>
    <row r="85" customFormat="false" ht="15" hidden="false" customHeight="false" outlineLevel="0" collapsed="false">
      <c r="A85" s="0" t="n">
        <v>84</v>
      </c>
      <c r="B85" s="0" t="s">
        <v>20</v>
      </c>
      <c r="C85" s="0" t="s">
        <v>19</v>
      </c>
      <c r="D85" s="0" t="n">
        <v>1</v>
      </c>
      <c r="E85" s="0" t="s">
        <v>12</v>
      </c>
      <c r="F85" s="0" t="s">
        <v>61</v>
      </c>
      <c r="G85" s="0" t="n">
        <v>7.22</v>
      </c>
      <c r="H85" s="0" t="n">
        <v>-5.68</v>
      </c>
    </row>
    <row r="86" customFormat="false" ht="15" hidden="false" customHeight="false" outlineLevel="0" collapsed="false">
      <c r="A86" s="0" t="n">
        <v>85</v>
      </c>
      <c r="B86" s="0" t="s">
        <v>22</v>
      </c>
      <c r="C86" s="0" t="s">
        <v>23</v>
      </c>
      <c r="D86" s="0" t="n">
        <v>2</v>
      </c>
      <c r="E86" s="0" t="s">
        <v>12</v>
      </c>
      <c r="F86" s="0" t="s">
        <v>52</v>
      </c>
      <c r="G86" s="0" t="n">
        <v>4.18</v>
      </c>
      <c r="H86" s="0" t="n">
        <v>-4.07</v>
      </c>
    </row>
    <row r="87" customFormat="false" ht="15" hidden="false" customHeight="false" outlineLevel="0" collapsed="false">
      <c r="A87" s="0" t="n">
        <v>86</v>
      </c>
      <c r="B87" s="0" t="s">
        <v>22</v>
      </c>
      <c r="C87" s="0" t="s">
        <v>23</v>
      </c>
      <c r="D87" s="0" t="n">
        <v>2</v>
      </c>
      <c r="E87" s="0" t="s">
        <v>12</v>
      </c>
      <c r="F87" s="0" t="s">
        <v>52</v>
      </c>
      <c r="G87" s="0" t="n">
        <v>4.18</v>
      </c>
      <c r="H87" s="0" t="n">
        <v>-3.64</v>
      </c>
    </row>
    <row r="88" customFormat="false" ht="15" hidden="false" customHeight="false" outlineLevel="0" collapsed="false">
      <c r="A88" s="0" t="n">
        <v>87</v>
      </c>
      <c r="B88" s="0" t="s">
        <v>22</v>
      </c>
      <c r="C88" s="0" t="s">
        <v>23</v>
      </c>
      <c r="D88" s="0" t="n">
        <v>2</v>
      </c>
      <c r="E88" s="0" t="s">
        <v>12</v>
      </c>
      <c r="F88" s="0" t="s">
        <v>61</v>
      </c>
      <c r="G88" s="0" t="n">
        <v>4.35</v>
      </c>
      <c r="H88" s="0" t="n">
        <v>-5.28</v>
      </c>
    </row>
    <row r="89" customFormat="false" ht="15" hidden="false" customHeight="false" outlineLevel="0" collapsed="false">
      <c r="A89" s="0" t="n">
        <v>88</v>
      </c>
      <c r="B89" s="0" t="s">
        <v>22</v>
      </c>
      <c r="C89" s="0" t="s">
        <v>23</v>
      </c>
      <c r="D89" s="0" t="n">
        <v>2</v>
      </c>
      <c r="E89" s="0" t="s">
        <v>12</v>
      </c>
      <c r="F89" s="0" t="s">
        <v>68</v>
      </c>
      <c r="G89" s="0" t="n">
        <v>7.25</v>
      </c>
      <c r="H89" s="0" t="n">
        <v>-4.71</v>
      </c>
    </row>
    <row r="90" customFormat="false" ht="15" hidden="false" customHeight="false" outlineLevel="0" collapsed="false">
      <c r="A90" s="0" t="n">
        <v>89</v>
      </c>
      <c r="B90" s="0" t="s">
        <v>24</v>
      </c>
      <c r="C90" s="0" t="s">
        <v>25</v>
      </c>
      <c r="D90" s="0" t="n">
        <v>1</v>
      </c>
      <c r="E90" s="0" t="s">
        <v>12</v>
      </c>
      <c r="F90" s="0" t="s">
        <v>68</v>
      </c>
      <c r="G90" s="0" t="n">
        <v>7.28</v>
      </c>
      <c r="H90" s="0" t="n">
        <v>-4.91</v>
      </c>
    </row>
    <row r="91" customFormat="false" ht="15" hidden="false" customHeight="false" outlineLevel="0" collapsed="false">
      <c r="A91" s="0" t="n">
        <v>90</v>
      </c>
      <c r="B91" s="0" t="s">
        <v>28</v>
      </c>
      <c r="C91" s="0" t="s">
        <v>29</v>
      </c>
      <c r="D91" s="0" t="n">
        <v>1</v>
      </c>
      <c r="E91" s="0" t="s">
        <v>12</v>
      </c>
      <c r="F91" s="0" t="s">
        <v>52</v>
      </c>
      <c r="G91" s="0" t="n">
        <v>4.26</v>
      </c>
      <c r="H91" s="0" t="n">
        <v>-3.85</v>
      </c>
    </row>
    <row r="92" customFormat="false" ht="15" hidden="false" customHeight="false" outlineLevel="0" collapsed="false">
      <c r="A92" s="0" t="n">
        <v>91</v>
      </c>
      <c r="B92" s="0" t="s">
        <v>18</v>
      </c>
      <c r="C92" s="0" t="s">
        <v>19</v>
      </c>
      <c r="D92" s="0" t="n">
        <v>1</v>
      </c>
      <c r="E92" s="0" t="s">
        <v>13</v>
      </c>
      <c r="F92" s="0" t="s">
        <v>69</v>
      </c>
      <c r="G92" s="0" t="n">
        <v>12.38</v>
      </c>
      <c r="H92" s="0" t="n">
        <v>7.6</v>
      </c>
    </row>
    <row r="93" customFormat="false" ht="15" hidden="false" customHeight="false" outlineLevel="0" collapsed="false">
      <c r="A93" s="0" t="n">
        <v>92</v>
      </c>
      <c r="B93" s="0" t="s">
        <v>18</v>
      </c>
      <c r="C93" s="0" t="s">
        <v>19</v>
      </c>
      <c r="D93" s="0" t="n">
        <v>1</v>
      </c>
      <c r="E93" s="0" t="s">
        <v>13</v>
      </c>
      <c r="F93" s="0" t="s">
        <v>69</v>
      </c>
      <c r="G93" s="0" t="n">
        <v>12.38</v>
      </c>
      <c r="H93" s="0" t="n">
        <v>5.44</v>
      </c>
    </row>
    <row r="94" customFormat="false" ht="15" hidden="false" customHeight="false" outlineLevel="0" collapsed="false">
      <c r="A94" s="0" t="n">
        <v>93</v>
      </c>
      <c r="B94" s="0" t="s">
        <v>18</v>
      </c>
      <c r="C94" s="0" t="s">
        <v>19</v>
      </c>
      <c r="D94" s="0" t="n">
        <v>1</v>
      </c>
      <c r="E94" s="0" t="s">
        <v>13</v>
      </c>
      <c r="F94" s="0" t="s">
        <v>69</v>
      </c>
      <c r="G94" s="0" t="n">
        <v>8.81</v>
      </c>
      <c r="H94" s="0" t="n">
        <v>7.6</v>
      </c>
    </row>
    <row r="95" customFormat="false" ht="15" hidden="false" customHeight="false" outlineLevel="0" collapsed="false">
      <c r="A95" s="0" t="n">
        <v>94</v>
      </c>
      <c r="B95" s="0" t="s">
        <v>18</v>
      </c>
      <c r="C95" s="0" t="s">
        <v>19</v>
      </c>
      <c r="D95" s="0" t="n">
        <v>1</v>
      </c>
      <c r="E95" s="0" t="s">
        <v>13</v>
      </c>
      <c r="F95" s="0" t="s">
        <v>69</v>
      </c>
      <c r="G95" s="0" t="n">
        <v>8.81</v>
      </c>
      <c r="H95" s="0" t="n">
        <v>5.44</v>
      </c>
    </row>
    <row r="96" customFormat="false" ht="15" hidden="false" customHeight="false" outlineLevel="0" collapsed="false">
      <c r="A96" s="0" t="n">
        <v>95</v>
      </c>
      <c r="B96" s="0" t="s">
        <v>18</v>
      </c>
      <c r="C96" s="0" t="s">
        <v>19</v>
      </c>
      <c r="D96" s="0" t="n">
        <v>1</v>
      </c>
      <c r="E96" s="0" t="s">
        <v>13</v>
      </c>
      <c r="F96" s="0" t="s">
        <v>69</v>
      </c>
      <c r="G96" s="0" t="n">
        <v>10.59</v>
      </c>
      <c r="H96" s="0" t="n">
        <v>7.6</v>
      </c>
    </row>
    <row r="97" customFormat="false" ht="15" hidden="false" customHeight="false" outlineLevel="0" collapsed="false">
      <c r="A97" s="0" t="n">
        <v>96</v>
      </c>
      <c r="B97" s="0" t="s">
        <v>18</v>
      </c>
      <c r="C97" s="0" t="s">
        <v>19</v>
      </c>
      <c r="D97" s="0" t="n">
        <v>1</v>
      </c>
      <c r="E97" s="0" t="s">
        <v>13</v>
      </c>
      <c r="F97" s="0" t="s">
        <v>69</v>
      </c>
      <c r="G97" s="0" t="n">
        <v>10.59</v>
      </c>
      <c r="H97" s="0" t="n">
        <v>5.44</v>
      </c>
    </row>
    <row r="98" customFormat="false" ht="15" hidden="false" customHeight="false" outlineLevel="0" collapsed="false">
      <c r="A98" s="0" t="n">
        <v>97</v>
      </c>
      <c r="B98" s="0" t="s">
        <v>18</v>
      </c>
      <c r="C98" s="0" t="s">
        <v>19</v>
      </c>
      <c r="D98" s="0" t="n">
        <v>1</v>
      </c>
      <c r="E98" s="0" t="s">
        <v>13</v>
      </c>
      <c r="F98" s="0" t="s">
        <v>70</v>
      </c>
      <c r="G98" s="0" t="n">
        <v>9.29</v>
      </c>
      <c r="H98" s="0" t="n">
        <v>6.52</v>
      </c>
    </row>
    <row r="99" customFormat="false" ht="15" hidden="false" customHeight="false" outlineLevel="0" collapsed="false">
      <c r="A99" s="0" t="n">
        <v>98</v>
      </c>
      <c r="B99" s="0" t="s">
        <v>18</v>
      </c>
      <c r="C99" s="0" t="s">
        <v>19</v>
      </c>
      <c r="D99" s="0" t="n">
        <v>1</v>
      </c>
      <c r="E99" s="0" t="s">
        <v>13</v>
      </c>
      <c r="F99" s="0" t="s">
        <v>70</v>
      </c>
      <c r="G99" s="0" t="n">
        <v>11.89</v>
      </c>
      <c r="H99" s="0" t="n">
        <v>6.52</v>
      </c>
    </row>
    <row r="100" customFormat="false" ht="15" hidden="false" customHeight="false" outlineLevel="0" collapsed="false">
      <c r="A100" s="0" t="n">
        <v>99</v>
      </c>
      <c r="B100" s="0" t="s">
        <v>20</v>
      </c>
      <c r="C100" s="0" t="s">
        <v>19</v>
      </c>
      <c r="D100" s="0" t="n">
        <v>1</v>
      </c>
      <c r="E100" s="0" t="s">
        <v>13</v>
      </c>
      <c r="F100" s="0" t="s">
        <v>71</v>
      </c>
      <c r="G100" s="0" t="n">
        <v>6.7</v>
      </c>
      <c r="H100" s="0" t="n">
        <v>7.43</v>
      </c>
    </row>
    <row r="101" customFormat="false" ht="15" hidden="false" customHeight="false" outlineLevel="0" collapsed="false">
      <c r="A101" s="0" t="n">
        <v>100</v>
      </c>
      <c r="B101" s="0" t="s">
        <v>20</v>
      </c>
      <c r="C101" s="0" t="s">
        <v>19</v>
      </c>
      <c r="D101" s="0" t="n">
        <v>1</v>
      </c>
      <c r="E101" s="0" t="s">
        <v>13</v>
      </c>
      <c r="F101" s="0" t="s">
        <v>72</v>
      </c>
      <c r="G101" s="0" t="n">
        <v>5.45</v>
      </c>
      <c r="H101" s="0" t="n">
        <v>7.53</v>
      </c>
    </row>
    <row r="102" customFormat="false" ht="15" hidden="false" customHeight="false" outlineLevel="0" collapsed="false">
      <c r="A102" s="0" t="n">
        <v>101</v>
      </c>
      <c r="B102" s="0" t="s">
        <v>20</v>
      </c>
      <c r="C102" s="0" t="s">
        <v>19</v>
      </c>
      <c r="D102" s="0" t="n">
        <v>1</v>
      </c>
      <c r="E102" s="0" t="s">
        <v>13</v>
      </c>
      <c r="F102" s="0" t="s">
        <v>73</v>
      </c>
      <c r="G102" s="0" t="n">
        <v>6.22</v>
      </c>
      <c r="H102" s="0" t="n">
        <v>5.47</v>
      </c>
    </row>
    <row r="103" customFormat="false" ht="15" hidden="false" customHeight="false" outlineLevel="0" collapsed="false">
      <c r="A103" s="0" t="n">
        <v>102</v>
      </c>
      <c r="B103" s="0" t="s">
        <v>21</v>
      </c>
      <c r="C103" s="0" t="s">
        <v>19</v>
      </c>
      <c r="D103" s="0" t="n">
        <v>1</v>
      </c>
      <c r="E103" s="0" t="s">
        <v>13</v>
      </c>
      <c r="F103" s="0" t="s">
        <v>70</v>
      </c>
      <c r="G103" s="0" t="n">
        <v>9.29</v>
      </c>
      <c r="H103" s="0" t="n">
        <v>6.52</v>
      </c>
    </row>
    <row r="104" customFormat="false" ht="15" hidden="false" customHeight="false" outlineLevel="0" collapsed="false">
      <c r="A104" s="0" t="n">
        <v>103</v>
      </c>
      <c r="B104" s="0" t="s">
        <v>21</v>
      </c>
      <c r="C104" s="0" t="s">
        <v>19</v>
      </c>
      <c r="D104" s="0" t="n">
        <v>1</v>
      </c>
      <c r="E104" s="0" t="s">
        <v>13</v>
      </c>
      <c r="F104" s="0" t="s">
        <v>70</v>
      </c>
      <c r="G104" s="0" t="n">
        <v>11.89</v>
      </c>
      <c r="H104" s="0" t="n">
        <v>6.52</v>
      </c>
    </row>
    <row r="105" customFormat="false" ht="15" hidden="false" customHeight="false" outlineLevel="0" collapsed="false">
      <c r="A105" s="0" t="n">
        <v>104</v>
      </c>
      <c r="B105" s="0" t="s">
        <v>22</v>
      </c>
      <c r="C105" s="0" t="s">
        <v>23</v>
      </c>
      <c r="D105" s="0" t="n">
        <v>2</v>
      </c>
      <c r="E105" s="0" t="s">
        <v>13</v>
      </c>
      <c r="F105" s="0" t="s">
        <v>73</v>
      </c>
      <c r="G105" s="0" t="n">
        <v>6.14</v>
      </c>
      <c r="H105" s="0" t="n">
        <v>4.85</v>
      </c>
    </row>
    <row r="106" customFormat="false" ht="15" hidden="false" customHeight="false" outlineLevel="0" collapsed="false">
      <c r="A106" s="0" t="n">
        <v>105</v>
      </c>
      <c r="B106" s="0" t="s">
        <v>22</v>
      </c>
      <c r="C106" s="0" t="s">
        <v>23</v>
      </c>
      <c r="D106" s="0" t="n">
        <v>1</v>
      </c>
      <c r="E106" s="0" t="s">
        <v>13</v>
      </c>
      <c r="F106" s="0" t="s">
        <v>52</v>
      </c>
      <c r="G106" s="0" t="n">
        <v>13.48</v>
      </c>
      <c r="H106" s="0" t="n">
        <v>4.77</v>
      </c>
    </row>
    <row r="107" customFormat="false" ht="15" hidden="false" customHeight="false" outlineLevel="0" collapsed="false">
      <c r="A107" s="0" t="n">
        <v>106</v>
      </c>
      <c r="B107" s="0" t="s">
        <v>22</v>
      </c>
      <c r="C107" s="0" t="s">
        <v>23</v>
      </c>
      <c r="D107" s="0" t="n">
        <v>2</v>
      </c>
      <c r="E107" s="0" t="s">
        <v>13</v>
      </c>
      <c r="F107" s="0" t="s">
        <v>72</v>
      </c>
      <c r="G107" s="0" t="n">
        <v>5.79</v>
      </c>
      <c r="H107" s="0" t="n">
        <v>7.54</v>
      </c>
    </row>
    <row r="108" customFormat="false" ht="15" hidden="false" customHeight="false" outlineLevel="0" collapsed="false">
      <c r="A108" s="0" t="n">
        <v>107</v>
      </c>
      <c r="B108" s="0" t="s">
        <v>34</v>
      </c>
      <c r="C108" s="0" t="s">
        <v>33</v>
      </c>
      <c r="D108" s="0" t="n">
        <v>1</v>
      </c>
      <c r="E108" s="0" t="s">
        <v>13</v>
      </c>
      <c r="F108" s="0" t="s">
        <v>74</v>
      </c>
      <c r="G108" s="0" t="n">
        <v>6.2</v>
      </c>
      <c r="H108" s="0" t="n">
        <v>5.2</v>
      </c>
    </row>
    <row r="109" customFormat="false" ht="15" hidden="false" customHeight="false" outlineLevel="0" collapsed="false">
      <c r="A109" s="0" t="n">
        <v>108</v>
      </c>
      <c r="B109" s="0" t="s">
        <v>18</v>
      </c>
      <c r="C109" s="0" t="s">
        <v>19</v>
      </c>
      <c r="D109" s="0" t="n">
        <v>1</v>
      </c>
      <c r="E109" s="0" t="s">
        <v>14</v>
      </c>
      <c r="F109" s="0" t="s">
        <v>62</v>
      </c>
      <c r="G109" s="0" t="n">
        <v>12.29</v>
      </c>
      <c r="H109" s="0" t="n">
        <v>-2.89</v>
      </c>
    </row>
    <row r="110" customFormat="false" ht="15" hidden="false" customHeight="false" outlineLevel="0" collapsed="false">
      <c r="A110" s="0" t="n">
        <v>109</v>
      </c>
      <c r="B110" s="0" t="s">
        <v>18</v>
      </c>
      <c r="C110" s="0" t="s">
        <v>19</v>
      </c>
      <c r="D110" s="0" t="n">
        <v>1</v>
      </c>
      <c r="E110" s="0" t="s">
        <v>14</v>
      </c>
      <c r="F110" s="0" t="s">
        <v>62</v>
      </c>
      <c r="G110" s="0" t="n">
        <v>12.29</v>
      </c>
      <c r="H110" s="0" t="n">
        <v>-5.34</v>
      </c>
    </row>
    <row r="111" customFormat="false" ht="15" hidden="false" customHeight="false" outlineLevel="0" collapsed="false">
      <c r="A111" s="0" t="n">
        <v>110</v>
      </c>
      <c r="B111" s="0" t="s">
        <v>18</v>
      </c>
      <c r="C111" s="0" t="s">
        <v>19</v>
      </c>
      <c r="D111" s="0" t="n">
        <v>1</v>
      </c>
      <c r="E111" s="0" t="s">
        <v>14</v>
      </c>
      <c r="F111" s="0" t="s">
        <v>62</v>
      </c>
      <c r="G111" s="0" t="n">
        <v>9.24</v>
      </c>
      <c r="H111" s="0" t="n">
        <v>-5.34</v>
      </c>
    </row>
    <row r="112" customFormat="false" ht="15" hidden="false" customHeight="false" outlineLevel="0" collapsed="false">
      <c r="A112" s="0" t="n">
        <v>111</v>
      </c>
      <c r="B112" s="0" t="s">
        <v>18</v>
      </c>
      <c r="C112" s="0" t="s">
        <v>19</v>
      </c>
      <c r="D112" s="0" t="n">
        <v>1</v>
      </c>
      <c r="E112" s="0" t="s">
        <v>14</v>
      </c>
      <c r="F112" s="0" t="s">
        <v>62</v>
      </c>
      <c r="G112" s="0" t="n">
        <v>9.24</v>
      </c>
      <c r="H112" s="0" t="n">
        <v>-2.89</v>
      </c>
    </row>
    <row r="113" customFormat="false" ht="15" hidden="false" customHeight="false" outlineLevel="0" collapsed="false">
      <c r="A113" s="0" t="n">
        <v>112</v>
      </c>
      <c r="B113" s="0" t="s">
        <v>20</v>
      </c>
      <c r="C113" s="0" t="s">
        <v>19</v>
      </c>
      <c r="D113" s="0" t="n">
        <v>1</v>
      </c>
      <c r="E113" s="0" t="s">
        <v>14</v>
      </c>
      <c r="F113" s="0" t="s">
        <v>61</v>
      </c>
      <c r="G113" s="0" t="n">
        <v>13.16</v>
      </c>
      <c r="H113" s="0" t="n">
        <v>-1.91</v>
      </c>
    </row>
    <row r="114" customFormat="false" ht="15" hidden="false" customHeight="false" outlineLevel="0" collapsed="false">
      <c r="A114" s="0" t="n">
        <v>113</v>
      </c>
      <c r="B114" s="0" t="s">
        <v>20</v>
      </c>
      <c r="C114" s="0" t="s">
        <v>19</v>
      </c>
      <c r="D114" s="0" t="n">
        <v>1</v>
      </c>
      <c r="E114" s="0" t="s">
        <v>14</v>
      </c>
      <c r="F114" s="0" t="s">
        <v>61</v>
      </c>
      <c r="G114" s="0" t="n">
        <v>11.08</v>
      </c>
      <c r="H114" s="0" t="n">
        <v>-1.91</v>
      </c>
    </row>
    <row r="115" customFormat="false" ht="15" hidden="false" customHeight="false" outlineLevel="0" collapsed="false">
      <c r="A115" s="0" t="n">
        <v>114</v>
      </c>
      <c r="B115" s="0" t="s">
        <v>20</v>
      </c>
      <c r="C115" s="0" t="s">
        <v>19</v>
      </c>
      <c r="D115" s="0" t="n">
        <v>1</v>
      </c>
      <c r="E115" s="0" t="s">
        <v>14</v>
      </c>
      <c r="F115" s="0" t="s">
        <v>61</v>
      </c>
      <c r="G115" s="0" t="n">
        <v>13.85</v>
      </c>
      <c r="H115" s="0" t="n">
        <v>-6.95</v>
      </c>
    </row>
    <row r="116" customFormat="false" ht="15" hidden="false" customHeight="false" outlineLevel="0" collapsed="false">
      <c r="A116" s="0" t="n">
        <v>115</v>
      </c>
      <c r="B116" s="0" t="s">
        <v>20</v>
      </c>
      <c r="C116" s="0" t="s">
        <v>19</v>
      </c>
      <c r="D116" s="0" t="n">
        <v>1</v>
      </c>
      <c r="E116" s="0" t="s">
        <v>14</v>
      </c>
      <c r="F116" s="0" t="s">
        <v>61</v>
      </c>
      <c r="G116" s="0" t="n">
        <v>7.68</v>
      </c>
      <c r="H116" s="0" t="n">
        <v>-6.96</v>
      </c>
    </row>
    <row r="117" customFormat="false" ht="15" hidden="false" customHeight="false" outlineLevel="0" collapsed="false">
      <c r="A117" s="0" t="n">
        <v>116</v>
      </c>
      <c r="B117" s="0" t="s">
        <v>26</v>
      </c>
      <c r="C117" s="0" t="s">
        <v>23</v>
      </c>
      <c r="D117" s="0" t="n">
        <v>1</v>
      </c>
      <c r="E117" s="0" t="s">
        <v>14</v>
      </c>
      <c r="F117" s="0" t="s">
        <v>52</v>
      </c>
      <c r="G117" s="0" t="n">
        <v>7.64</v>
      </c>
      <c r="H117" s="0" t="n">
        <v>-2.78</v>
      </c>
    </row>
    <row r="118" customFormat="false" ht="15" hidden="false" customHeight="false" outlineLevel="0" collapsed="false">
      <c r="A118" s="0" t="n">
        <v>117</v>
      </c>
      <c r="B118" s="0" t="s">
        <v>31</v>
      </c>
      <c r="C118" s="0" t="s">
        <v>29</v>
      </c>
      <c r="D118" s="0" t="n">
        <v>1</v>
      </c>
      <c r="E118" s="0" t="s">
        <v>14</v>
      </c>
      <c r="F118" s="0" t="s">
        <v>62</v>
      </c>
      <c r="G118" s="0" t="n">
        <v>10.24</v>
      </c>
      <c r="H118" s="0" t="n">
        <v>-1.97</v>
      </c>
    </row>
    <row r="119" customFormat="false" ht="15" hidden="false" customHeight="false" outlineLevel="0" collapsed="false">
      <c r="A119" s="0" t="n">
        <v>118</v>
      </c>
      <c r="B119" s="0" t="s">
        <v>20</v>
      </c>
      <c r="C119" s="0" t="s">
        <v>19</v>
      </c>
      <c r="D119" s="0" t="n">
        <v>1</v>
      </c>
      <c r="E119" s="0" t="s">
        <v>15</v>
      </c>
      <c r="F119" s="0" t="s">
        <v>61</v>
      </c>
      <c r="G119" s="0" t="n">
        <v>14.44</v>
      </c>
      <c r="H119" s="0" t="n">
        <v>0.57</v>
      </c>
    </row>
    <row r="120" customFormat="false" ht="15" hidden="false" customHeight="false" outlineLevel="0" collapsed="false">
      <c r="A120" s="0" t="n">
        <v>119</v>
      </c>
      <c r="B120" s="0" t="s">
        <v>20</v>
      </c>
      <c r="C120" s="0" t="s">
        <v>19</v>
      </c>
      <c r="D120" s="0" t="n">
        <v>1</v>
      </c>
      <c r="E120" s="0" t="s">
        <v>15</v>
      </c>
      <c r="F120" s="0" t="s">
        <v>61</v>
      </c>
      <c r="G120" s="0" t="n">
        <v>13.85</v>
      </c>
      <c r="H120" s="0" t="n">
        <v>8.81</v>
      </c>
    </row>
    <row r="121" customFormat="false" ht="15" hidden="false" customHeight="false" outlineLevel="0" collapsed="false">
      <c r="A121" s="0" t="n">
        <v>120</v>
      </c>
      <c r="B121" s="0" t="s">
        <v>20</v>
      </c>
      <c r="C121" s="0" t="s">
        <v>19</v>
      </c>
      <c r="D121" s="0" t="n">
        <v>1</v>
      </c>
      <c r="E121" s="0" t="s">
        <v>15</v>
      </c>
      <c r="F121" s="0" t="s">
        <v>61</v>
      </c>
      <c r="G121" s="0" t="n">
        <v>0.43</v>
      </c>
      <c r="H121" s="0" t="n">
        <v>-1.46</v>
      </c>
    </row>
    <row r="122" customFormat="false" ht="15" hidden="false" customHeight="false" outlineLevel="0" collapsed="false">
      <c r="A122" s="0" t="n">
        <v>121</v>
      </c>
      <c r="B122" s="0" t="s">
        <v>20</v>
      </c>
      <c r="C122" s="0" t="s">
        <v>19</v>
      </c>
      <c r="D122" s="0" t="n">
        <v>1</v>
      </c>
      <c r="E122" s="0" t="s">
        <v>15</v>
      </c>
      <c r="F122" s="0" t="s">
        <v>61</v>
      </c>
      <c r="G122" s="0" t="n">
        <v>4.26</v>
      </c>
      <c r="H122" s="0" t="n">
        <v>8.73</v>
      </c>
    </row>
    <row r="123" customFormat="false" ht="15" hidden="false" customHeight="false" outlineLevel="0" collapsed="false">
      <c r="A123" s="0" t="n">
        <v>122</v>
      </c>
      <c r="B123" s="0" t="s">
        <v>20</v>
      </c>
      <c r="C123" s="0" t="s">
        <v>19</v>
      </c>
      <c r="D123" s="0" t="n">
        <v>1</v>
      </c>
      <c r="E123" s="0" t="s">
        <v>15</v>
      </c>
      <c r="F123" s="0" t="s">
        <v>61</v>
      </c>
      <c r="G123" s="0" t="n">
        <v>6.67</v>
      </c>
      <c r="H123" s="0" t="n">
        <v>8.73</v>
      </c>
    </row>
    <row r="124" customFormat="false" ht="15" hidden="false" customHeight="false" outlineLevel="0" collapsed="false">
      <c r="A124" s="0" t="n">
        <v>123</v>
      </c>
      <c r="B124" s="0" t="s">
        <v>20</v>
      </c>
      <c r="C124" s="0" t="s">
        <v>19</v>
      </c>
      <c r="D124" s="0" t="n">
        <v>1</v>
      </c>
      <c r="E124" s="0" t="s">
        <v>15</v>
      </c>
      <c r="F124" s="0" t="s">
        <v>61</v>
      </c>
      <c r="G124" s="0" t="n">
        <v>0.43</v>
      </c>
      <c r="H124" s="0" t="n">
        <v>-4.86</v>
      </c>
    </row>
    <row r="125" customFormat="false" ht="15" hidden="false" customHeight="false" outlineLevel="0" collapsed="false">
      <c r="A125" s="0" t="n">
        <v>124</v>
      </c>
      <c r="B125" s="0" t="s">
        <v>20</v>
      </c>
      <c r="C125" s="0" t="s">
        <v>19</v>
      </c>
      <c r="D125" s="0" t="n">
        <v>1</v>
      </c>
      <c r="E125" s="0" t="s">
        <v>15</v>
      </c>
      <c r="F125" s="0" t="s">
        <v>61</v>
      </c>
      <c r="G125" s="0" t="n">
        <v>0.43</v>
      </c>
      <c r="H125" s="0" t="n">
        <v>2.37</v>
      </c>
    </row>
    <row r="126" customFormat="false" ht="15" hidden="false" customHeight="false" outlineLevel="0" collapsed="false">
      <c r="A126" s="0" t="n">
        <v>125</v>
      </c>
      <c r="B126" s="0" t="s">
        <v>20</v>
      </c>
      <c r="C126" s="0" t="s">
        <v>19</v>
      </c>
      <c r="D126" s="0" t="n">
        <v>1</v>
      </c>
      <c r="E126" s="0" t="s">
        <v>15</v>
      </c>
      <c r="F126" s="0" t="s">
        <v>61</v>
      </c>
      <c r="G126" s="0" t="n">
        <v>8.81</v>
      </c>
      <c r="H126" s="0" t="n">
        <v>-7.87</v>
      </c>
    </row>
    <row r="127" customFormat="false" ht="15" hidden="false" customHeight="false" outlineLevel="0" collapsed="false">
      <c r="A127" s="0" t="n">
        <v>126</v>
      </c>
      <c r="B127" s="0" t="s">
        <v>20</v>
      </c>
      <c r="C127" s="0" t="s">
        <v>19</v>
      </c>
      <c r="D127" s="0" t="n">
        <v>1</v>
      </c>
      <c r="E127" s="0" t="s">
        <v>15</v>
      </c>
      <c r="F127" s="0" t="s">
        <v>61</v>
      </c>
      <c r="G127" s="0" t="n">
        <v>14.44</v>
      </c>
      <c r="H127" s="0" t="n">
        <v>2.31</v>
      </c>
    </row>
    <row r="128" customFormat="false" ht="15" hidden="false" customHeight="false" outlineLevel="0" collapsed="false">
      <c r="A128" s="0" t="n">
        <v>127</v>
      </c>
      <c r="B128" s="0" t="s">
        <v>20</v>
      </c>
      <c r="C128" s="0" t="s">
        <v>19</v>
      </c>
      <c r="D128" s="0" t="n">
        <v>1</v>
      </c>
      <c r="E128" s="0" t="s">
        <v>15</v>
      </c>
      <c r="F128" s="0" t="s">
        <v>61</v>
      </c>
      <c r="G128" s="0" t="n">
        <v>0.91</v>
      </c>
      <c r="H128" s="0" t="n">
        <v>8.73</v>
      </c>
    </row>
    <row r="129" customFormat="false" ht="15" hidden="false" customHeight="false" outlineLevel="0" collapsed="false">
      <c r="A129" s="0" t="n">
        <v>128</v>
      </c>
      <c r="B129" s="0" t="s">
        <v>20</v>
      </c>
      <c r="C129" s="0" t="s">
        <v>19</v>
      </c>
      <c r="D129" s="0" t="n">
        <v>1</v>
      </c>
      <c r="E129" s="0" t="s">
        <v>15</v>
      </c>
      <c r="F129" s="0" t="s">
        <v>53</v>
      </c>
      <c r="G129" s="0" t="n">
        <v>4.05</v>
      </c>
      <c r="H129" s="0" t="n">
        <v>8.73</v>
      </c>
    </row>
    <row r="130" customFormat="false" ht="15" hidden="false" customHeight="false" outlineLevel="0" collapsed="false">
      <c r="A130" s="0" t="n">
        <v>129</v>
      </c>
      <c r="B130" s="0" t="s">
        <v>26</v>
      </c>
      <c r="C130" s="0" t="s">
        <v>23</v>
      </c>
      <c r="D130" s="0" t="n">
        <v>1</v>
      </c>
      <c r="E130" s="0" t="s">
        <v>16</v>
      </c>
      <c r="F130" s="0" t="s">
        <v>61</v>
      </c>
      <c r="G130" s="0" t="n">
        <v>14.42</v>
      </c>
      <c r="H130" s="0" t="n">
        <v>2.07</v>
      </c>
    </row>
    <row r="131" customFormat="false" ht="15" hidden="false" customHeight="false" outlineLevel="0" collapsed="false">
      <c r="A131" s="0" t="n">
        <v>130</v>
      </c>
      <c r="B131" s="0" t="s">
        <v>26</v>
      </c>
      <c r="C131" s="0" t="s">
        <v>23</v>
      </c>
      <c r="D131" s="0" t="n">
        <v>1</v>
      </c>
      <c r="E131" s="0" t="s">
        <v>16</v>
      </c>
      <c r="F131" s="0" t="s">
        <v>53</v>
      </c>
      <c r="G131" s="0" t="n">
        <v>3.83</v>
      </c>
      <c r="H131" s="0" t="n">
        <v>8.71</v>
      </c>
    </row>
    <row r="132" customFormat="false" ht="15" hidden="false" customHeight="false" outlineLevel="0" collapsed="false">
      <c r="A132" s="0" t="n">
        <v>131</v>
      </c>
      <c r="B132" s="0" t="s">
        <v>26</v>
      </c>
      <c r="C132" s="0" t="s">
        <v>23</v>
      </c>
      <c r="D132" s="0" t="n">
        <v>1</v>
      </c>
      <c r="E132" s="0" t="s">
        <v>16</v>
      </c>
      <c r="F132" s="0" t="s">
        <v>52</v>
      </c>
      <c r="G132" s="0" t="n">
        <v>0.45</v>
      </c>
      <c r="H132" s="0" t="n">
        <v>0.32</v>
      </c>
    </row>
    <row r="133" customFormat="false" ht="15" hidden="false" customHeight="false" outlineLevel="0" collapsed="false">
      <c r="A133" s="0" t="n">
        <v>132</v>
      </c>
      <c r="B133" s="0" t="s">
        <v>27</v>
      </c>
      <c r="C133" s="0" t="s">
        <v>23</v>
      </c>
      <c r="D133" s="0" t="n">
        <v>1</v>
      </c>
      <c r="E133" s="0" t="s">
        <v>16</v>
      </c>
      <c r="F133" s="0" t="s">
        <v>52</v>
      </c>
      <c r="G133" s="0" t="n">
        <v>1.48</v>
      </c>
      <c r="H133" s="0" t="n">
        <v>10.33</v>
      </c>
    </row>
    <row r="134" customFormat="false" ht="15" hidden="false" customHeight="false" outlineLevel="0" collapsed="false">
      <c r="A134" s="0" t="n">
        <v>133</v>
      </c>
      <c r="B134" s="0" t="s">
        <v>35</v>
      </c>
      <c r="C134" s="0" t="s">
        <v>29</v>
      </c>
      <c r="D134" s="0" t="n">
        <v>1</v>
      </c>
      <c r="E134" s="0" t="s">
        <v>16</v>
      </c>
      <c r="F134" s="0" t="s">
        <v>74</v>
      </c>
      <c r="G134" s="0" t="n">
        <v>14.9</v>
      </c>
      <c r="H134" s="0" t="n">
        <v>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6.15" hidden="false" customHeight="false" outlineLevel="0" collapsed="false">
      <c r="A1" s="1" t="s">
        <v>75</v>
      </c>
    </row>
    <row r="3" customFormat="false" ht="15" hidden="false" customHeight="false" outlineLevel="0" collapsed="false">
      <c r="A3" s="0" t="s">
        <v>76</v>
      </c>
    </row>
    <row r="4" customFormat="false" ht="15" hidden="false" customHeight="false" outlineLevel="0" collapsed="false">
      <c r="A4" s="0" t="s">
        <v>77</v>
      </c>
    </row>
    <row r="5" customFormat="false" ht="15" hidden="false" customHeight="false" outlineLevel="0" collapsed="false">
      <c r="A5" s="0" t="s">
        <v>78</v>
      </c>
    </row>
    <row r="6" customFormat="false" ht="15" hidden="false" customHeight="false" outlineLevel="0" collapsed="false">
      <c r="A6" s="0" t="s">
        <v>79</v>
      </c>
    </row>
    <row r="7" customFormat="false" ht="15" hidden="false" customHeight="false" outlineLevel="0" collapsed="false">
      <c r="A7" s="0" t="s">
        <v>80</v>
      </c>
    </row>
    <row r="8" customFormat="false" ht="15" hidden="false" customHeight="false" outlineLevel="0" collapsed="false">
      <c r="A8" s="0" t="s">
        <v>81</v>
      </c>
    </row>
    <row r="9" customFormat="false" ht="15" hidden="false" customHeight="false" outlineLevel="0" collapsed="false">
      <c r="A9" s="0" t="s">
        <v>82</v>
      </c>
    </row>
    <row r="10" customFormat="false" ht="15" hidden="false" customHeight="false" outlineLevel="0" collapsed="false">
      <c r="A10" s="0" t="s">
        <v>83</v>
      </c>
    </row>
    <row r="11" customFormat="false" ht="15" hidden="false" customHeight="false" outlineLevel="0" collapsed="false">
      <c r="A11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2026-10-14T19:16:54Z</dcterms:created>
  <dc:creator>openpyxl</dc:creator>
  <dc:description/>
  <dc:language>en-US</dc:language>
  <cp:lastModifiedBy/>
  <dcterms:modified xsi:type="dcterms:W3CDTF">2026-10-14T19:16:54Z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