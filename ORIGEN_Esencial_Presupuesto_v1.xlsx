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mySup" sheetId="1" state="visible" r:id="rId1"/>
    <sheet xmlns:r="http://schemas.openxmlformats.org/officeDocument/2006/relationships" name="Materiales" sheetId="2" state="visible" r:id="rId2"/>
    <sheet xmlns:r="http://schemas.openxmlformats.org/officeDocument/2006/relationships" name="Tot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ORIGEN ESENCIAL - PERIMETROS Y SUPERFICIES</t>
        </is>
      </c>
    </row>
    <row r="3">
      <c r="A3" s="2" t="inlineStr">
        <is>
          <t>Local</t>
        </is>
      </c>
      <c r="B3" s="2" t="inlineStr">
        <is>
          <t>Perímetro (m)</t>
        </is>
      </c>
      <c r="C3" s="2" t="inlineStr">
        <is>
          <t>Superficie (m²)</t>
        </is>
      </c>
      <c r="D3" s="2" t="inlineStr">
        <is>
          <t>Altura (m)</t>
        </is>
      </c>
    </row>
    <row r="4">
      <c r="A4" t="inlineStr">
        <is>
          <t>Estar + Cocina + Paso</t>
        </is>
      </c>
      <c r="B4" t="n">
        <v>31.11</v>
      </c>
      <c r="C4" t="n">
        <v>27.9</v>
      </c>
      <c r="D4" t="n">
        <v>3.08</v>
      </c>
    </row>
    <row r="5">
      <c r="A5" t="inlineStr">
        <is>
          <t>Antebaño</t>
        </is>
      </c>
      <c r="B5" t="n">
        <v>7.43</v>
      </c>
      <c r="C5" t="n">
        <v>3.2</v>
      </c>
      <c r="D5" t="n">
        <v>3.08</v>
      </c>
    </row>
    <row r="6">
      <c r="A6" t="inlineStr">
        <is>
          <t>Baño</t>
        </is>
      </c>
      <c r="B6" t="n">
        <v>7.64</v>
      </c>
      <c r="C6" t="n">
        <v>3.44</v>
      </c>
      <c r="D6" t="n">
        <v>3.08</v>
      </c>
    </row>
    <row r="7">
      <c r="A7" t="inlineStr">
        <is>
          <t>Dormitorio 1</t>
        </is>
      </c>
      <c r="B7" t="n">
        <v>13.57</v>
      </c>
      <c r="C7" t="n">
        <v>10.16</v>
      </c>
      <c r="D7" t="n">
        <v>3.08</v>
      </c>
    </row>
    <row r="8">
      <c r="A8" t="inlineStr">
        <is>
          <t>Dormitorio 2</t>
        </is>
      </c>
      <c r="B8" t="n">
        <v>14.78</v>
      </c>
      <c r="C8" t="n">
        <v>11.05</v>
      </c>
      <c r="D8" t="n">
        <v>3.08</v>
      </c>
    </row>
    <row r="9">
      <c r="A9" s="3" t="inlineStr">
        <is>
          <t>TOTAL</t>
        </is>
      </c>
      <c r="B9">
        <f>SUM(B4:B8)</f>
        <v/>
      </c>
      <c r="C9" s="3">
        <f>SUM(C4:C8)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ORIGEN ESENCIAL - MATERIALES Y COSTOS</t>
        </is>
      </c>
    </row>
    <row r="3">
      <c r="A3" s="2" t="inlineStr">
        <is>
          <t>Item</t>
        </is>
      </c>
      <c r="B3" s="2" t="inlineStr">
        <is>
          <t>Descripción</t>
        </is>
      </c>
      <c r="C3" s="2" t="inlineStr">
        <is>
          <t>Unidad</t>
        </is>
      </c>
      <c r="D3" s="2" t="inlineStr">
        <is>
          <t>Cantidad</t>
        </is>
      </c>
      <c r="E3" s="2" t="inlineStr">
        <is>
          <t>Precio Unitario (ARS)</t>
        </is>
      </c>
      <c r="F3" s="2" t="inlineStr">
        <is>
          <t>Precio Parcial (ARS)</t>
        </is>
      </c>
      <c r="G3" s="2" t="inlineStr">
        <is>
          <t>Precio Unitario (USD)</t>
        </is>
      </c>
      <c r="H3" s="2" t="inlineStr">
        <is>
          <t>Precio Parcial (USD)</t>
        </is>
      </c>
    </row>
    <row r="4">
      <c r="A4" t="n">
        <v>1</v>
      </c>
      <c r="B4" t="inlineStr">
        <is>
          <t>Revestimiento placa de roca de yeso interior</t>
        </is>
      </c>
      <c r="C4" t="inlineStr">
        <is>
          <t>m2</t>
        </is>
      </c>
      <c r="D4" t="n">
        <v>137.5</v>
      </c>
      <c r="E4" t="n">
        <v>7272.76</v>
      </c>
      <c r="F4">
        <f>D4*E4</f>
        <v/>
      </c>
      <c r="G4">
        <f>E4/1550</f>
        <v/>
      </c>
      <c r="H4">
        <f>D4*G4</f>
        <v/>
      </c>
    </row>
    <row r="5">
      <c r="A5" t="n">
        <v>2</v>
      </c>
      <c r="B5" t="inlineStr">
        <is>
          <t>Revestimiento Exterior siding LP</t>
        </is>
      </c>
      <c r="C5" t="inlineStr">
        <is>
          <t>m2</t>
        </is>
      </c>
      <c r="D5" t="n">
        <v>136.93</v>
      </c>
      <c r="E5" t="n">
        <v>18055.04</v>
      </c>
      <c r="F5">
        <f>D5*E5</f>
        <v/>
      </c>
      <c r="G5">
        <f>E5/1550</f>
        <v/>
      </c>
      <c r="H5">
        <f>D5*G5</f>
        <v/>
      </c>
    </row>
    <row r="6">
      <c r="A6" t="n">
        <v>3</v>
      </c>
      <c r="B6" t="inlineStr">
        <is>
          <t>Durlock Cielorraso</t>
        </is>
      </c>
      <c r="C6" t="inlineStr">
        <is>
          <t>m2</t>
        </is>
      </c>
      <c r="D6" t="n">
        <v>55.75</v>
      </c>
      <c r="E6" t="n">
        <v>7272.76</v>
      </c>
      <c r="F6">
        <f>D6*E6</f>
        <v/>
      </c>
      <c r="G6">
        <f>E6/1550</f>
        <v/>
      </c>
      <c r="H6">
        <f>D6*G6</f>
        <v/>
      </c>
    </row>
    <row r="7">
      <c r="A7" t="n">
        <v>4</v>
      </c>
      <c r="B7" t="inlineStr">
        <is>
          <t>Pinturas interior muros</t>
        </is>
      </c>
      <c r="C7" t="inlineStr">
        <is>
          <t>m2</t>
        </is>
      </c>
      <c r="D7" t="n">
        <v>137.5</v>
      </c>
      <c r="E7" t="n">
        <v>2500</v>
      </c>
      <c r="F7">
        <f>D7*E7</f>
        <v/>
      </c>
      <c r="G7">
        <f>E7/1550</f>
        <v/>
      </c>
      <c r="H7">
        <f>D7*G7</f>
        <v/>
      </c>
    </row>
    <row r="8">
      <c r="A8" t="n">
        <v>5</v>
      </c>
      <c r="B8" t="inlineStr">
        <is>
          <t>Pinturas cielorraso</t>
        </is>
      </c>
      <c r="C8" t="inlineStr">
        <is>
          <t>m2</t>
        </is>
      </c>
      <c r="D8" t="n">
        <v>55.75</v>
      </c>
      <c r="E8" t="n">
        <v>1500</v>
      </c>
      <c r="F8">
        <f>D8*E8</f>
        <v/>
      </c>
      <c r="G8">
        <f>E8/1550</f>
        <v/>
      </c>
      <c r="H8">
        <f>D8*G8</f>
        <v/>
      </c>
    </row>
    <row r="9">
      <c r="A9" t="n">
        <v>6</v>
      </c>
      <c r="B9" t="inlineStr">
        <is>
          <t>Pisos cerámicos/vinílico</t>
        </is>
      </c>
      <c r="C9" t="inlineStr">
        <is>
          <t>m2</t>
        </is>
      </c>
      <c r="D9" t="n">
        <v>62.7</v>
      </c>
      <c r="E9" t="n">
        <v>5000</v>
      </c>
      <c r="F9">
        <f>D9*E9</f>
        <v/>
      </c>
      <c r="G9">
        <f>E9/1550</f>
        <v/>
      </c>
      <c r="H9">
        <f>D9*G9</f>
        <v/>
      </c>
    </row>
    <row r="10">
      <c r="A10" t="n">
        <v>7</v>
      </c>
      <c r="B10" t="inlineStr">
        <is>
          <t>Zócalos</t>
        </is>
      </c>
      <c r="C10" t="inlineStr">
        <is>
          <t>ml</t>
        </is>
      </c>
      <c r="D10" t="n">
        <v>88.7</v>
      </c>
      <c r="E10" t="n">
        <v>1000</v>
      </c>
      <c r="F10">
        <f>D10*E10</f>
        <v/>
      </c>
      <c r="G10">
        <f>E10/1550</f>
        <v/>
      </c>
      <c r="H10">
        <f>D10*G10</f>
        <v/>
      </c>
    </row>
    <row r="11">
      <c r="A11" t="n">
        <v>8</v>
      </c>
      <c r="B11" t="inlineStr">
        <is>
          <t>Canaletas y bajadas</t>
        </is>
      </c>
      <c r="C11" t="inlineStr">
        <is>
          <t>ml</t>
        </is>
      </c>
      <c r="D11" t="n">
        <v>20</v>
      </c>
      <c r="E11" t="n">
        <v>25000</v>
      </c>
      <c r="F11">
        <f>D11*E11</f>
        <v/>
      </c>
      <c r="G11">
        <f>E11/1550</f>
        <v/>
      </c>
      <c r="H11">
        <f>D11*G11</f>
        <v/>
      </c>
    </row>
    <row r="12">
      <c r="A12" s="3" t="inlineStr">
        <is>
          <t>TOTAL</t>
        </is>
      </c>
      <c r="F12" s="3">
        <f>SUM(F4:F11)</f>
        <v/>
      </c>
      <c r="H12" s="3">
        <f>SUM(H4:H11)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ORIGEN ESENCIAL - RESUMEN DE COSTOS</t>
        </is>
      </c>
    </row>
    <row r="3">
      <c r="A3" s="2" t="inlineStr">
        <is>
          <t>Concepto</t>
        </is>
      </c>
      <c r="B3" s="2" t="inlineStr">
        <is>
          <t>ARS</t>
        </is>
      </c>
      <c r="C3" s="2" t="inlineStr">
        <is>
          <t>USD</t>
        </is>
      </c>
    </row>
    <row r="4">
      <c r="A4" t="inlineStr">
        <is>
          <t>Materiales</t>
        </is>
      </c>
      <c r="B4">
        <f>Materiales!F12</f>
        <v/>
      </c>
      <c r="C4">
        <f>Materiales!H12</f>
        <v/>
      </c>
    </row>
    <row r="5">
      <c r="A5" t="inlineStr">
        <is>
          <t>Mano de Obra</t>
        </is>
      </c>
      <c r="B5" t="n">
        <v>50000</v>
      </c>
      <c r="C5">
        <f>B5/1550</f>
        <v/>
      </c>
    </row>
    <row r="6">
      <c r="A6" t="inlineStr">
        <is>
          <t>SUBTOTAL</t>
        </is>
      </c>
      <c r="B6" s="3">
        <f>SUM(B4:B5)</f>
        <v/>
      </c>
      <c r="C6" s="3">
        <f>SUM(C4:C5)</f>
        <v/>
      </c>
    </row>
    <row r="7">
      <c r="A7" t="inlineStr">
        <is>
          <t>TOTAL (ARS + USD)</t>
        </is>
      </c>
      <c r="B7" s="4">
        <f>B6</f>
        <v/>
      </c>
      <c r="C7" s="4">
        <f>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2026-10-08T21:23:56Z</dcterms:created>
  <dcterms:modified xmlns:dcterms="http://purl.org/dc/terms/" xmlns:xsi="http://www.w3.org/2001/XMLSchema-instance" xsi:type="dcterms:W3CDTF">2026-10-08T21:23:56Z</dcterms:modified>
</cp:coreProperties>
</file>