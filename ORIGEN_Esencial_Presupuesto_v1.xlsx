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imySup" sheetId="1" state="visible" r:id="rId1"/>
    <sheet xmlns:r="http://schemas.openxmlformats.org/officeDocument/2006/relationships" name="Materiales" sheetId="2" state="visible" r:id="rId2"/>
    <sheet xmlns:r="http://schemas.openxmlformats.org/officeDocument/2006/relationships" name="Tot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3D3D3"/>
        <bgColor rgb="00D3D3D3"/>
      </patternFill>
    </fill>
    <fill>
      <patternFill patternType="solid">
        <fgColor rgb="00FFFF99"/>
        <b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ORIGEN ESENCIAL - PERIMETROS Y SUPERFICIES</t>
        </is>
      </c>
    </row>
    <row r="3">
      <c r="A3" s="2" t="inlineStr">
        <is>
          <t>Local</t>
        </is>
      </c>
      <c r="B3" s="2" t="inlineStr">
        <is>
          <t>Perímetro (m)</t>
        </is>
      </c>
      <c r="C3" s="2" t="inlineStr">
        <is>
          <t>Superficie (m²)</t>
        </is>
      </c>
      <c r="D3" s="2" t="inlineStr">
        <is>
          <t>Altura (m)</t>
        </is>
      </c>
    </row>
    <row r="4">
      <c r="A4" t="inlineStr">
        <is>
          <t>Estar + Cocina + Paso</t>
        </is>
      </c>
      <c r="B4" t="n">
        <v>31.11</v>
      </c>
      <c r="C4" t="n">
        <v>27.9</v>
      </c>
      <c r="D4" t="n">
        <v>3.08</v>
      </c>
    </row>
    <row r="5">
      <c r="A5" t="inlineStr">
        <is>
          <t>Antebaño</t>
        </is>
      </c>
      <c r="B5" t="n">
        <v>7.43</v>
      </c>
      <c r="C5" t="n">
        <v>3.2</v>
      </c>
      <c r="D5" t="n">
        <v>3.08</v>
      </c>
    </row>
    <row r="6">
      <c r="A6" t="inlineStr">
        <is>
          <t>Baño</t>
        </is>
      </c>
      <c r="B6" t="n">
        <v>7.64</v>
      </c>
      <c r="C6" t="n">
        <v>3.44</v>
      </c>
      <c r="D6" t="n">
        <v>3.08</v>
      </c>
    </row>
    <row r="7">
      <c r="A7" t="inlineStr">
        <is>
          <t>Dormitorio 1</t>
        </is>
      </c>
      <c r="B7" t="n">
        <v>13.57</v>
      </c>
      <c r="C7" t="n">
        <v>10.16</v>
      </c>
      <c r="D7" t="n">
        <v>3.08</v>
      </c>
    </row>
    <row r="8">
      <c r="A8" t="inlineStr">
        <is>
          <t>Dormitorio 2</t>
        </is>
      </c>
      <c r="B8" t="n">
        <v>14.78</v>
      </c>
      <c r="C8" t="n">
        <v>11.05</v>
      </c>
      <c r="D8" t="n">
        <v>3.08</v>
      </c>
    </row>
    <row r="9">
      <c r="A9" s="3" t="inlineStr">
        <is>
          <t>TOTAL</t>
        </is>
      </c>
      <c r="B9">
        <f>SUM(B4:B8)</f>
        <v/>
      </c>
      <c r="C9" s="3">
        <f>SUM(C4:C8)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10" customWidth="1" min="3" max="3"/>
    <col width="12" customWidth="1" min="4" max="4"/>
    <col width="18" customWidth="1" min="5" max="5"/>
    <col width="18" customWidth="1" min="6" max="6"/>
    <col width="15" customWidth="1" min="7" max="7"/>
  </cols>
  <sheetData>
    <row r="1">
      <c r="A1" s="1" t="inlineStr">
        <is>
          <t>ORIGEN ESENCIAL - MATERIALES Y COSTOS</t>
        </is>
      </c>
    </row>
    <row r="3">
      <c r="A3" s="2" t="inlineStr">
        <is>
          <t>Item</t>
        </is>
      </c>
      <c r="B3" s="2" t="inlineStr">
        <is>
          <t>Descripción</t>
        </is>
      </c>
      <c r="C3" s="2" t="inlineStr">
        <is>
          <t>Unidad</t>
        </is>
      </c>
      <c r="D3" s="2" t="inlineStr">
        <is>
          <t>Cantidad</t>
        </is>
      </c>
      <c r="E3" s="2" t="inlineStr">
        <is>
          <t>Precio Unitario ARS</t>
        </is>
      </c>
      <c r="F3" s="2" t="inlineStr">
        <is>
          <t>Subtotal ARS</t>
        </is>
      </c>
      <c r="G3" s="2" t="inlineStr">
        <is>
          <t>USD x 1550</t>
        </is>
      </c>
    </row>
    <row r="4">
      <c r="A4" t="n">
        <v>1</v>
      </c>
      <c r="B4" t="inlineStr">
        <is>
          <t>Placa Roca Yeso interior (Durlock)</t>
        </is>
      </c>
      <c r="C4" t="inlineStr">
        <is>
          <t>m2</t>
        </is>
      </c>
      <c r="D4" t="n">
        <v>102.123</v>
      </c>
      <c r="E4" t="n">
        <v>7272.76</v>
      </c>
      <c r="F4">
        <f>D4*E4</f>
        <v/>
      </c>
      <c r="G4">
        <f>ROUND(F4/1550, 2)</f>
        <v/>
      </c>
    </row>
    <row r="5">
      <c r="A5" t="n">
        <v>2</v>
      </c>
      <c r="B5" t="inlineStr">
        <is>
          <t>Impermeabilizante (Baños/Ducha)</t>
        </is>
      </c>
      <c r="C5" t="inlineStr">
        <is>
          <t>m2</t>
        </is>
      </c>
      <c r="D5" t="n">
        <v>12.32</v>
      </c>
      <c r="E5" t="n">
        <v>8000</v>
      </c>
      <c r="F5">
        <f>D5*E5</f>
        <v/>
      </c>
      <c r="G5">
        <f>ROUND(F5/1550, 2)</f>
        <v/>
      </c>
    </row>
    <row r="6">
      <c r="A6" t="n">
        <v>3</v>
      </c>
      <c r="B6" t="inlineStr">
        <is>
          <t>Pisos Porcelanato</t>
        </is>
      </c>
      <c r="C6" t="inlineStr">
        <is>
          <t>m2</t>
        </is>
      </c>
      <c r="D6" t="n">
        <v>52.55</v>
      </c>
      <c r="E6" t="n">
        <v>5000</v>
      </c>
      <c r="F6">
        <f>D6*E6</f>
        <v/>
      </c>
      <c r="G6">
        <f>ROUND(F6/1550, 2)</f>
        <v/>
      </c>
    </row>
    <row r="7">
      <c r="A7" t="n">
        <v>4</v>
      </c>
      <c r="B7" t="inlineStr">
        <is>
          <t>Revestimiento interior</t>
        </is>
      </c>
      <c r="C7" t="inlineStr">
        <is>
          <t>m2</t>
        </is>
      </c>
      <c r="D7" t="n">
        <v>27.5312</v>
      </c>
      <c r="E7" t="n">
        <v>7272.76</v>
      </c>
      <c r="F7">
        <f>D7*E7</f>
        <v/>
      </c>
      <c r="G7">
        <f>ROUND(F7/1550, 2)</f>
        <v/>
      </c>
    </row>
    <row r="8">
      <c r="A8" t="n">
        <v>5</v>
      </c>
      <c r="B8" t="inlineStr">
        <is>
          <t>Zócalos PVC</t>
        </is>
      </c>
      <c r="C8" t="inlineStr">
        <is>
          <t>ml</t>
        </is>
      </c>
      <c r="D8" t="n">
        <v>55.46</v>
      </c>
      <c r="E8" t="n">
        <v>1000</v>
      </c>
      <c r="F8">
        <f>D8*E8</f>
        <v/>
      </c>
      <c r="G8">
        <f>ROUND(F8/1550, 2)</f>
        <v/>
      </c>
    </row>
    <row r="9">
      <c r="A9" t="n">
        <v>6</v>
      </c>
      <c r="B9" t="inlineStr">
        <is>
          <t>Siding exterior LP</t>
        </is>
      </c>
      <c r="C9" t="inlineStr">
        <is>
          <t>m2</t>
        </is>
      </c>
      <c r="D9" t="n">
        <v>102.123</v>
      </c>
      <c r="E9" t="n">
        <v>18055.04</v>
      </c>
      <c r="F9">
        <f>D9*E9</f>
        <v/>
      </c>
      <c r="G9">
        <f>ROUND(F9/1550, 2)</f>
        <v/>
      </c>
    </row>
    <row r="10">
      <c r="A10" t="n">
        <v>7</v>
      </c>
      <c r="B10" t="inlineStr">
        <is>
          <t>Pintura interior muros</t>
        </is>
      </c>
      <c r="C10" t="inlineStr">
        <is>
          <t>m2</t>
        </is>
      </c>
      <c r="D10" t="n">
        <v>52.55</v>
      </c>
      <c r="E10" t="n">
        <v>2500</v>
      </c>
      <c r="F10">
        <f>D10*E10</f>
        <v/>
      </c>
      <c r="G10">
        <f>ROUND(F10/1550, 2)</f>
        <v/>
      </c>
    </row>
    <row r="11">
      <c r="A11" t="n">
        <v>8</v>
      </c>
      <c r="B11" t="inlineStr">
        <is>
          <t>Pintura cielorraso</t>
        </is>
      </c>
      <c r="C11" t="inlineStr">
        <is>
          <t>m2</t>
        </is>
      </c>
      <c r="D11" t="n">
        <v>52.55</v>
      </c>
      <c r="E11" t="n">
        <v>2500</v>
      </c>
      <c r="F11">
        <f>D11*E11</f>
        <v/>
      </c>
      <c r="G11">
        <f>ROUND(F11/1550, 2)</f>
        <v/>
      </c>
    </row>
    <row r="12">
      <c r="A12" t="n">
        <v>9</v>
      </c>
      <c r="B12" t="inlineStr">
        <is>
          <t>Bocas eléctricas iluminación</t>
        </is>
      </c>
      <c r="C12" t="inlineStr">
        <is>
          <t>u</t>
        </is>
      </c>
      <c r="D12" t="n">
        <v>16</v>
      </c>
      <c r="E12" t="n">
        <v>3500</v>
      </c>
      <c r="F12">
        <f>D12*E12</f>
        <v/>
      </c>
      <c r="G12">
        <f>ROUND(F12/1550, 2)</f>
        <v/>
      </c>
    </row>
    <row r="13">
      <c r="A13" t="n">
        <v>10</v>
      </c>
      <c r="B13" t="inlineStr">
        <is>
          <t>Tomas eléctricas 220v</t>
        </is>
      </c>
      <c r="C13" t="inlineStr">
        <is>
          <t>u</t>
        </is>
      </c>
      <c r="D13" t="n">
        <v>26</v>
      </c>
      <c r="E13" t="n">
        <v>2500</v>
      </c>
      <c r="F13">
        <f>D13*E13</f>
        <v/>
      </c>
      <c r="G13">
        <f>ROUND(F13/1550, 2)</f>
        <v/>
      </c>
    </row>
    <row r="14">
      <c r="A14" t="n">
        <v>11</v>
      </c>
      <c r="B14" t="inlineStr">
        <is>
          <t>Aire acondicionado</t>
        </is>
      </c>
      <c r="C14" t="inlineStr">
        <is>
          <t>u</t>
        </is>
      </c>
      <c r="D14" t="n">
        <v>3</v>
      </c>
      <c r="E14" t="n">
        <v>150000</v>
      </c>
      <c r="F14">
        <f>D14*E14</f>
        <v/>
      </c>
      <c r="G14">
        <f>ROUND(F14/1550, 2)</f>
        <v/>
      </c>
    </row>
    <row r="15">
      <c r="A15" t="n">
        <v>12</v>
      </c>
      <c r="B15" t="inlineStr">
        <is>
          <t>Corriente debida</t>
        </is>
      </c>
      <c r="C15" t="inlineStr">
        <is>
          <t>u</t>
        </is>
      </c>
      <c r="D15" t="n">
        <v>2</v>
      </c>
      <c r="E15" t="n">
        <v>5000</v>
      </c>
      <c r="F15">
        <f>D15*E15</f>
        <v/>
      </c>
      <c r="G15">
        <f>ROUND(F15/1550, 2)</f>
        <v/>
      </c>
    </row>
    <row r="16">
      <c r="A16" s="4" t="inlineStr">
        <is>
          <t>TOTAL MATERIALES</t>
        </is>
      </c>
      <c r="B16" s="5" t="n"/>
      <c r="C16" s="5" t="n"/>
      <c r="D16" s="5" t="n"/>
      <c r="E16" s="5" t="n"/>
      <c r="F16" s="6">
        <f>SUM(F4:F15)</f>
        <v/>
      </c>
      <c r="G16" s="6">
        <f>ROUND(F16/1550, 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</cols>
  <sheetData>
    <row r="1">
      <c r="A1" s="1" t="inlineStr">
        <is>
          <t>ORIGEN ESENCIAL - RESUMEN DE COSTOS</t>
        </is>
      </c>
    </row>
    <row r="3">
      <c r="A3" s="2" t="inlineStr">
        <is>
          <t>Concepto</t>
        </is>
      </c>
      <c r="B3" s="2" t="inlineStr">
        <is>
          <t>ARS</t>
        </is>
      </c>
      <c r="C3" s="2" t="inlineStr">
        <is>
          <t>USD</t>
        </is>
      </c>
    </row>
    <row r="4">
      <c r="A4" s="7" t="inlineStr">
        <is>
          <t>TOTAL MATERIALES</t>
        </is>
      </c>
      <c r="B4" s="7">
        <f>Materiales!F16</f>
        <v/>
      </c>
      <c r="C4" s="7">
        <f>Materiales!G16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2026-10-08T21:31:47Z</dcterms:created>
  <dcterms:modified xmlns:dcterms="http://purl.org/dc/terms/" xmlns:xsi="http://www.w3.org/2001/XMLSchema-instance" xsi:type="dcterms:W3CDTF">2026-10-08T21:31:47Z</dcterms:modified>
</cp:coreProperties>
</file>